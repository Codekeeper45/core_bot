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EGA\ТОО NeO Drain\Курбан\КП\КП 2026\"/>
    </mc:Choice>
  </mc:AlternateContent>
  <xr:revisionPtr revIDLastSave="0" documentId="8_{E977D5B6-C84D-4E60-AA6F-C85E806F9E59}" xr6:coauthVersionLast="45" xr6:coauthVersionMax="45" xr10:uidLastSave="{00000000-0000-0000-0000-000000000000}"/>
  <bookViews>
    <workbookView xWindow="1812" yWindow="1812" windowWidth="17280" windowHeight="8520" xr2:uid="{00000000-000D-0000-FFFF-FFFF00000000}"/>
  </bookViews>
  <sheets>
    <sheet name="Лист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3" l="1"/>
  <c r="J15" i="3" s="1"/>
  <c r="G14" i="3" l="1"/>
  <c r="J14" i="3" s="1"/>
  <c r="J13" i="3"/>
  <c r="J16" i="3" l="1"/>
</calcChain>
</file>

<file path=xl/sharedStrings.xml><?xml version="1.0" encoding="utf-8"?>
<sst xmlns="http://schemas.openxmlformats.org/spreadsheetml/2006/main" count="32" uniqueCount="26">
  <si>
    <t>* Ценовое предложение действительно в течение 5 дней</t>
  </si>
  <si>
    <t>Наименование</t>
  </si>
  <si>
    <t>* Условия оплаты - предоплата 100%</t>
  </si>
  <si>
    <t>Директор ТОО "NEODRAIN KAZAKSTAN (Неодрэйн Казахстан)"  Елисеев С.В.   ____________________</t>
  </si>
  <si>
    <t>№</t>
  </si>
  <si>
    <t>Кол-во</t>
  </si>
  <si>
    <t>Ед.</t>
  </si>
  <si>
    <t>шт</t>
  </si>
  <si>
    <t>Цена</t>
  </si>
  <si>
    <t>Уважаемые партнеры  просим расмотреть данное предложение :</t>
  </si>
  <si>
    <t>Длина, мм</t>
  </si>
  <si>
    <t>Высота, мм</t>
  </si>
  <si>
    <t>Гидравлич. ширина, мм</t>
  </si>
  <si>
    <t>Наружная ширина, мм</t>
  </si>
  <si>
    <t>Стоимость, тенге</t>
  </si>
  <si>
    <t>ИТОГО</t>
  </si>
  <si>
    <t>-</t>
  </si>
  <si>
    <t>* Цены указаны с учетом доставки и  максимальной скидки</t>
  </si>
  <si>
    <t>* Условия доставки:  До объекта Заказчика</t>
  </si>
  <si>
    <t>* Форма оплаты - наличный/безналичный расчет</t>
  </si>
  <si>
    <t>* Вся продукция Gidrolica® произведена в России и сертифицирована</t>
  </si>
  <si>
    <t xml:space="preserve">108 Крепеж Gidrolica для лотка водоотводного пластикового DN100 </t>
  </si>
  <si>
    <t xml:space="preserve"> Лоток водоотводный Gidrolica Standart ЛВ-10.14,5.18 - пластиковый</t>
  </si>
  <si>
    <t xml:space="preserve">Решетка водоприемная Gidrolica Standart РВ -10.13,6.100 - ячеистая стальная оцинкованная, кл. В125 </t>
  </si>
  <si>
    <t xml:space="preserve">* Цены указаны с учетом  НДС 16% </t>
  </si>
  <si>
    <t>Исходящий №3-2206
от 22.06.2026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</si>
</sst>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₸&quot;_-;\-* #,##0.00\ &quot;₸&quot;_-;_-* &quot;-&quot;??\ &quot;₸&quot;_-;_-@_-"/>
  </numFmts>
  <fonts count="16" x14ac:knownFonts="1">
    <font>
      <sz val="11"/>
      <color theme="1"/>
      <name val="Calibri"/>
      <family val="2"/>
      <charset val="204"/>
      <scheme val="minor"/>
    </font>
    <font>
      <sz val="12"/>
      <color theme="1"/>
      <name val="Tahoma"/>
      <family val="2"/>
      <charset val="204"/>
    </font>
    <font>
      <sz val="8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8"/>
      <color rgb="FF000000"/>
      <name val="Tahoma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7" fillId="0" borderId="0"/>
    <xf numFmtId="0" fontId="9" fillId="0" borderId="0"/>
    <xf numFmtId="0" fontId="10" fillId="0" borderId="0"/>
    <xf numFmtId="0" fontId="8" fillId="0" borderId="0"/>
    <xf numFmtId="0" fontId="6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 wrapText="1" shrinkToFit="1"/>
    </xf>
    <xf numFmtId="4" fontId="0" fillId="0" borderId="0" xfId="0" applyNumberFormat="1" applyAlignment="1">
      <alignment horizontal="left" wrapText="1"/>
    </xf>
    <xf numFmtId="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 shrinkToFit="1"/>
    </xf>
    <xf numFmtId="4" fontId="0" fillId="0" borderId="0" xfId="0" applyNumberFormat="1" applyAlignment="1">
      <alignment wrapText="1"/>
    </xf>
    <xf numFmtId="0" fontId="0" fillId="0" borderId="0" xfId="0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shrinkToFit="1"/>
    </xf>
    <xf numFmtId="0" fontId="15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 wrapText="1"/>
    </xf>
    <xf numFmtId="4" fontId="4" fillId="0" borderId="0" xfId="0" applyNumberFormat="1" applyFont="1" applyAlignment="1">
      <alignment horizontal="left" wrapText="1"/>
    </xf>
    <xf numFmtId="3" fontId="0" fillId="0" borderId="0" xfId="0" applyNumberFormat="1"/>
    <xf numFmtId="0" fontId="5" fillId="0" borderId="0" xfId="0" applyFont="1" applyAlignment="1">
      <alignment horizontal="right" vertical="center" wrapText="1" shrinkToFit="1"/>
    </xf>
    <xf numFmtId="3" fontId="13" fillId="0" borderId="0" xfId="0" applyNumberFormat="1" applyFont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4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3" fillId="2" borderId="0" xfId="0" applyFont="1" applyFill="1" applyAlignment="1">
      <alignment horizontal="left" vertical="center" wrapText="1" shrinkToFit="1"/>
    </xf>
    <xf numFmtId="0" fontId="14" fillId="0" borderId="7" xfId="0" applyFont="1" applyBorder="1" applyAlignment="1">
      <alignment horizontal="center" vertical="center" wrapText="1" shrinkToFit="1"/>
    </xf>
    <xf numFmtId="4" fontId="4" fillId="0" borderId="0" xfId="0" applyNumberFormat="1" applyFont="1" applyAlignment="1">
      <alignment horizontal="left" wrapText="1"/>
    </xf>
  </cellXfs>
  <cellStyles count="10">
    <cellStyle name="Excel Built-in Normal" xfId="3" xr:uid="{00000000-0005-0000-0000-000000000000}"/>
    <cellStyle name="Денежный 2" xfId="6" xr:uid="{00000000-0005-0000-0000-000001000000}"/>
    <cellStyle name="Обычный" xfId="0" builtinId="0"/>
    <cellStyle name="Обычный 2" xfId="4" xr:uid="{00000000-0005-0000-0000-000003000000}"/>
    <cellStyle name="Обычный 2 2" xfId="8" xr:uid="{00000000-0005-0000-0000-000004000000}"/>
    <cellStyle name="Обычный 2 3" xfId="7" xr:uid="{00000000-0005-0000-0000-000005000000}"/>
    <cellStyle name="Обычный 3" xfId="5" xr:uid="{00000000-0005-0000-0000-000006000000}"/>
    <cellStyle name="Обычный 4" xfId="1" xr:uid="{00000000-0005-0000-0000-000007000000}"/>
    <cellStyle name="Пояснение 2" xfId="2" xr:uid="{00000000-0005-0000-0000-000008000000}"/>
    <cellStyle name="Процентный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43387</xdr:rowOff>
    </xdr:from>
    <xdr:to>
      <xdr:col>7</xdr:col>
      <xdr:colOff>421171</xdr:colOff>
      <xdr:row>6</xdr:row>
      <xdr:rowOff>18825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913" y="43387"/>
          <a:ext cx="6453809" cy="11084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170035</xdr:rowOff>
    </xdr:from>
    <xdr:to>
      <xdr:col>5</xdr:col>
      <xdr:colOff>445979</xdr:colOff>
      <xdr:row>35</xdr:row>
      <xdr:rowOff>160042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49061"/>
          <a:ext cx="5601075" cy="175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4:M36"/>
  <sheetViews>
    <sheetView tabSelected="1" topLeftCell="A10" zoomScale="115" zoomScaleNormal="115" workbookViewId="0">
      <selection activeCell="B17" sqref="B17:I17"/>
    </sheetView>
  </sheetViews>
  <sheetFormatPr defaultRowHeight="14.4" x14ac:dyDescent="0.3"/>
  <cols>
    <col min="1" max="1" width="3.33203125" style="1" customWidth="1"/>
    <col min="2" max="2" width="44.33203125" style="2" customWidth="1"/>
    <col min="3" max="3" width="8.109375" style="2" customWidth="1"/>
    <col min="4" max="4" width="9.44140625" style="2" customWidth="1"/>
    <col min="5" max="5" width="10" style="2" customWidth="1"/>
    <col min="6" max="6" width="8.109375" style="2" customWidth="1"/>
    <col min="7" max="7" width="7.6640625" style="2" customWidth="1"/>
    <col min="8" max="8" width="6.33203125" style="2" customWidth="1"/>
    <col min="9" max="9" width="9.33203125" style="2" customWidth="1"/>
    <col min="10" max="10" width="12" customWidth="1"/>
  </cols>
  <sheetData>
    <row r="4" spans="1:13" ht="15" x14ac:dyDescent="0.3">
      <c r="A4" s="25"/>
      <c r="B4" s="25"/>
      <c r="C4" s="4"/>
      <c r="D4" s="4"/>
      <c r="E4" s="4"/>
      <c r="F4" s="4"/>
      <c r="G4" s="4"/>
      <c r="H4" s="4"/>
      <c r="I4" s="4"/>
    </row>
    <row r="5" spans="1:13" ht="15" x14ac:dyDescent="0.3">
      <c r="A5" s="4"/>
      <c r="B5" s="4"/>
      <c r="C5" s="4"/>
      <c r="D5" s="4"/>
      <c r="E5" s="4"/>
      <c r="F5" s="4"/>
      <c r="G5" s="4"/>
      <c r="H5" s="4"/>
      <c r="I5" s="4"/>
    </row>
    <row r="6" spans="1:13" ht="15" x14ac:dyDescent="0.3">
      <c r="A6" s="4"/>
      <c r="B6" s="4"/>
      <c r="C6" s="4"/>
      <c r="D6" s="4"/>
      <c r="E6" s="4"/>
      <c r="F6" s="4"/>
      <c r="G6" s="4"/>
      <c r="H6" s="4"/>
      <c r="I6" s="4"/>
    </row>
    <row r="7" spans="1:13" ht="15" x14ac:dyDescent="0.3">
      <c r="A7" s="4"/>
      <c r="B7" s="4"/>
      <c r="C7" s="4"/>
      <c r="D7" s="4"/>
      <c r="E7" s="4"/>
      <c r="F7" s="4"/>
      <c r="G7" s="4"/>
      <c r="H7" s="4"/>
      <c r="I7" s="4"/>
    </row>
    <row r="8" spans="1:13" ht="15" customHeight="1" x14ac:dyDescent="0.3">
      <c r="B8" s="28" t="s">
        <v>25</v>
      </c>
      <c r="C8" s="13"/>
      <c r="D8" s="13"/>
      <c r="E8" s="13"/>
      <c r="F8" s="13"/>
      <c r="G8" s="1"/>
    </row>
    <row r="9" spans="1:13" x14ac:dyDescent="0.3">
      <c r="A9" s="7"/>
      <c r="B9" s="28"/>
      <c r="C9" s="13"/>
      <c r="D9" s="13"/>
      <c r="E9" s="13"/>
      <c r="F9" s="13"/>
      <c r="G9" s="5"/>
      <c r="H9" s="5"/>
      <c r="I9" s="5"/>
    </row>
    <row r="10" spans="1:13" x14ac:dyDescent="0.3">
      <c r="A10" s="7"/>
      <c r="B10" s="8"/>
      <c r="C10" s="8"/>
      <c r="D10" s="8"/>
      <c r="E10" s="8"/>
      <c r="F10" s="8"/>
      <c r="G10" s="5"/>
      <c r="H10" s="26"/>
      <c r="I10" s="26"/>
    </row>
    <row r="11" spans="1:13" ht="20.399999999999999" customHeight="1" thickBot="1" x14ac:dyDescent="0.35">
      <c r="A11" s="5"/>
      <c r="B11" s="26" t="s">
        <v>9</v>
      </c>
      <c r="C11" s="26"/>
      <c r="D11" s="26"/>
      <c r="E11" s="26"/>
      <c r="F11" s="26"/>
      <c r="G11" s="26"/>
      <c r="H11" s="26"/>
      <c r="I11" s="26"/>
    </row>
    <row r="12" spans="1:13" ht="21" thickBot="1" x14ac:dyDescent="0.35">
      <c r="A12" s="10" t="s">
        <v>4</v>
      </c>
      <c r="B12" s="11" t="s">
        <v>1</v>
      </c>
      <c r="C12" s="11" t="s">
        <v>10</v>
      </c>
      <c r="D12" s="11" t="s">
        <v>13</v>
      </c>
      <c r="E12" s="11" t="s">
        <v>12</v>
      </c>
      <c r="F12" s="11" t="s">
        <v>11</v>
      </c>
      <c r="G12" s="10" t="s">
        <v>5</v>
      </c>
      <c r="H12" s="12" t="s">
        <v>6</v>
      </c>
      <c r="I12" s="12" t="s">
        <v>8</v>
      </c>
      <c r="J12" s="12" t="s">
        <v>14</v>
      </c>
    </row>
    <row r="13" spans="1:13" ht="21" thickBot="1" x14ac:dyDescent="0.35">
      <c r="A13" s="23">
        <v>1</v>
      </c>
      <c r="B13" s="14" t="s">
        <v>22</v>
      </c>
      <c r="C13" s="15">
        <v>1000</v>
      </c>
      <c r="D13" s="15">
        <v>145</v>
      </c>
      <c r="E13" s="15">
        <v>100</v>
      </c>
      <c r="F13" s="15">
        <v>180</v>
      </c>
      <c r="G13" s="16">
        <v>12</v>
      </c>
      <c r="H13" s="17" t="s">
        <v>7</v>
      </c>
      <c r="I13" s="18">
        <v>4830</v>
      </c>
      <c r="J13" s="18">
        <f t="shared" ref="J13:J15" si="0">I13*G13</f>
        <v>57960</v>
      </c>
    </row>
    <row r="14" spans="1:13" ht="21" thickBot="1" x14ac:dyDescent="0.35">
      <c r="A14" s="23">
        <v>2</v>
      </c>
      <c r="B14" s="14" t="s">
        <v>23</v>
      </c>
      <c r="C14" s="15">
        <v>1000</v>
      </c>
      <c r="D14" s="15">
        <v>136</v>
      </c>
      <c r="E14" s="15" t="s">
        <v>16</v>
      </c>
      <c r="F14" s="15">
        <v>20</v>
      </c>
      <c r="G14" s="16">
        <f>SUM(G13:G13)</f>
        <v>12</v>
      </c>
      <c r="H14" s="17" t="s">
        <v>7</v>
      </c>
      <c r="I14" s="18">
        <v>11550</v>
      </c>
      <c r="J14" s="18">
        <f t="shared" si="0"/>
        <v>138600</v>
      </c>
    </row>
    <row r="15" spans="1:13" ht="21" thickBot="1" x14ac:dyDescent="0.35">
      <c r="A15" s="23">
        <v>3</v>
      </c>
      <c r="B15" s="14" t="s">
        <v>21</v>
      </c>
      <c r="C15" s="15" t="s">
        <v>16</v>
      </c>
      <c r="D15" s="15" t="s">
        <v>16</v>
      </c>
      <c r="E15" s="15" t="s">
        <v>16</v>
      </c>
      <c r="F15" s="15" t="s">
        <v>16</v>
      </c>
      <c r="G15" s="16">
        <f>G13*2</f>
        <v>24</v>
      </c>
      <c r="H15" s="17" t="s">
        <v>7</v>
      </c>
      <c r="I15" s="18">
        <v>455</v>
      </c>
      <c r="J15" s="18">
        <f t="shared" si="0"/>
        <v>10920</v>
      </c>
    </row>
    <row r="16" spans="1:13" x14ac:dyDescent="0.3">
      <c r="A16" s="9"/>
      <c r="B16" s="21"/>
      <c r="C16" s="21"/>
      <c r="D16" s="21"/>
      <c r="E16" s="21"/>
      <c r="F16" s="21"/>
      <c r="G16" s="21"/>
      <c r="H16" s="29" t="s">
        <v>15</v>
      </c>
      <c r="I16" s="29"/>
      <c r="J16" s="22">
        <f>SUM(J13:J15)</f>
        <v>207480</v>
      </c>
      <c r="M16" s="20"/>
    </row>
    <row r="17" spans="1:9" x14ac:dyDescent="0.3">
      <c r="A17" s="5"/>
      <c r="B17" s="27" t="s">
        <v>20</v>
      </c>
      <c r="C17" s="27"/>
      <c r="D17" s="27"/>
      <c r="E17" s="27"/>
      <c r="F17" s="27"/>
      <c r="G17" s="27"/>
      <c r="H17" s="27"/>
      <c r="I17" s="27"/>
    </row>
    <row r="18" spans="1:9" x14ac:dyDescent="0.3">
      <c r="A18" s="5"/>
      <c r="B18" s="27" t="s">
        <v>19</v>
      </c>
      <c r="C18" s="27"/>
      <c r="D18" s="27"/>
      <c r="E18" s="27"/>
      <c r="F18" s="27"/>
      <c r="G18" s="27"/>
      <c r="H18" s="27"/>
      <c r="I18" s="27"/>
    </row>
    <row r="19" spans="1:9" ht="14.4" customHeight="1" x14ac:dyDescent="0.3">
      <c r="A19" s="6"/>
      <c r="B19" s="27" t="s">
        <v>2</v>
      </c>
      <c r="C19" s="27"/>
      <c r="D19" s="27"/>
      <c r="E19" s="27"/>
      <c r="F19" s="27"/>
      <c r="G19" s="27"/>
      <c r="H19" s="27"/>
      <c r="I19" s="27"/>
    </row>
    <row r="20" spans="1:9" ht="15" customHeight="1" x14ac:dyDescent="0.3">
      <c r="A20" s="6"/>
      <c r="B20" s="30" t="s">
        <v>24</v>
      </c>
      <c r="C20" s="30"/>
      <c r="D20" s="30"/>
      <c r="E20" s="30"/>
      <c r="F20" s="30"/>
      <c r="G20" s="30"/>
      <c r="H20" s="30"/>
      <c r="I20" s="30"/>
    </row>
    <row r="21" spans="1:9" ht="15" customHeight="1" x14ac:dyDescent="0.3">
      <c r="A21" s="6"/>
      <c r="B21" s="27" t="s">
        <v>18</v>
      </c>
      <c r="C21" s="27"/>
      <c r="D21" s="27"/>
      <c r="E21" s="27"/>
      <c r="F21" s="27"/>
      <c r="G21" s="27"/>
      <c r="H21" s="27"/>
      <c r="I21" s="27"/>
    </row>
    <row r="22" spans="1:9" ht="14.4" customHeight="1" x14ac:dyDescent="0.3">
      <c r="A22" s="6"/>
      <c r="B22" s="30" t="s">
        <v>17</v>
      </c>
      <c r="C22" s="30"/>
      <c r="D22" s="30"/>
      <c r="E22" s="30"/>
      <c r="F22" s="30"/>
      <c r="G22" s="30"/>
      <c r="H22" s="30"/>
      <c r="I22" s="30"/>
    </row>
    <row r="23" spans="1:9" x14ac:dyDescent="0.3">
      <c r="A23" s="6"/>
      <c r="B23" s="30" t="s">
        <v>0</v>
      </c>
      <c r="C23" s="30"/>
      <c r="D23" s="30"/>
      <c r="E23" s="30"/>
      <c r="F23" s="30"/>
      <c r="G23" s="30"/>
      <c r="H23" s="30"/>
      <c r="I23" s="30"/>
    </row>
    <row r="24" spans="1:9" x14ac:dyDescent="0.3">
      <c r="A24" s="6"/>
      <c r="B24" s="19"/>
      <c r="C24" s="19"/>
      <c r="D24" s="19"/>
      <c r="E24" s="19"/>
      <c r="F24" s="19"/>
      <c r="G24" s="19"/>
      <c r="H24" s="19"/>
      <c r="I24" s="19"/>
    </row>
    <row r="25" spans="1:9" x14ac:dyDescent="0.3">
      <c r="A25" s="6"/>
      <c r="B25" s="19"/>
      <c r="C25" s="19"/>
      <c r="D25" s="19"/>
      <c r="E25" s="19"/>
      <c r="F25" s="19"/>
      <c r="G25" s="19"/>
      <c r="H25" s="19"/>
      <c r="I25" s="19"/>
    </row>
    <row r="26" spans="1:9" ht="15" customHeight="1" x14ac:dyDescent="0.3">
      <c r="A26" s="6"/>
      <c r="B26" s="24" t="s">
        <v>3</v>
      </c>
      <c r="C26" s="24"/>
      <c r="D26" s="24"/>
      <c r="E26" s="24"/>
      <c r="F26" s="24"/>
      <c r="G26" s="24"/>
      <c r="H26" s="24"/>
      <c r="I26" s="24"/>
    </row>
    <row r="27" spans="1:9" x14ac:dyDescent="0.3">
      <c r="A27" s="6"/>
      <c r="B27" s="6"/>
      <c r="C27" s="6"/>
      <c r="D27" s="6"/>
      <c r="E27" s="6"/>
      <c r="F27" s="6"/>
      <c r="G27" s="6"/>
      <c r="H27" s="3"/>
      <c r="I27" s="3"/>
    </row>
    <row r="28" spans="1:9" ht="14.4" customHeight="1" x14ac:dyDescent="0.3">
      <c r="A28" s="6"/>
      <c r="B28" s="6"/>
      <c r="C28" s="6"/>
      <c r="D28" s="6"/>
      <c r="E28" s="6"/>
      <c r="F28" s="6"/>
      <c r="G28" s="6"/>
      <c r="H28" s="3"/>
      <c r="I28" s="3"/>
    </row>
    <row r="34" ht="14.4" customHeight="1" x14ac:dyDescent="0.3"/>
    <row r="36" ht="15" customHeight="1" x14ac:dyDescent="0.3"/>
  </sheetData>
  <mergeCells count="13">
    <mergeCell ref="B26:I26"/>
    <mergeCell ref="A4:B4"/>
    <mergeCell ref="B11:I11"/>
    <mergeCell ref="B19:I19"/>
    <mergeCell ref="B17:I17"/>
    <mergeCell ref="B8:B9"/>
    <mergeCell ref="H10:I10"/>
    <mergeCell ref="H16:I16"/>
    <mergeCell ref="B20:I20"/>
    <mergeCell ref="B22:I22"/>
    <mergeCell ref="B23:I23"/>
    <mergeCell ref="B21:I21"/>
    <mergeCell ref="B18:I18"/>
  </mergeCells>
  <phoneticPr fontId="12" type="noConversion"/>
  <pageMargins left="0" right="0" top="0.74803149606299213" bottom="0.74803149606299213" header="0.31496062992125984" footer="0.31496062992125984"/>
  <pageSetup paperSize="9" scale="8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cp:lastPrinted>2024-08-28T09:49:52Z</cp:lastPrinted>
  <dcterms:created xsi:type="dcterms:W3CDTF">2018-03-02T10:15:33Z</dcterms:created>
  <dcterms:modified xsi:type="dcterms:W3CDTF">2026-06-23T11:04:53Z</dcterms:modified>
</cp:coreProperties>
</file>