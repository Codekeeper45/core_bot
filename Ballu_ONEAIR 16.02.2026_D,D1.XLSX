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ahutdinov_fg\Desktop\ПРИТОЧКИ ASP\"/>
    </mc:Choice>
  </mc:AlternateContent>
  <xr:revisionPtr revIDLastSave="0" documentId="8_{9923F758-8A03-459A-943E-42D6FD95DDD8}" xr6:coauthVersionLast="46" xr6:coauthVersionMax="46" xr10:uidLastSave="{00000000-0000-0000-0000-000000000000}"/>
  <bookViews>
    <workbookView xWindow="-108" yWindow="-108" windowWidth="23256" windowHeight="12456" tabRatio="653" xr2:uid="{00000000-000D-0000-FFFF-FFFF00000000}"/>
  </bookViews>
  <sheets>
    <sheet name="ONEAIR" sheetId="17" r:id="rId1"/>
    <sheet name="Конкуренты" sheetId="5" state="hidden" r:id="rId2"/>
  </sheets>
  <definedNames>
    <definedName name="_xlnm._FilterDatabase" localSheetId="1" hidden="1">Конкуренты!$B$2:$C$2</definedName>
    <definedName name="_xlnm.Print_Area" localSheetId="0">ONEAIR!$C$2:$O$37</definedName>
  </definedNames>
  <calcPr calcId="191029"/>
</workbook>
</file>

<file path=xl/calcChain.xml><?xml version="1.0" encoding="utf-8"?>
<calcChain xmlns="http://schemas.openxmlformats.org/spreadsheetml/2006/main">
  <c r="M19" i="17" l="1"/>
  <c r="N19" i="17" s="1"/>
  <c r="J19" i="17"/>
  <c r="M31" i="17"/>
  <c r="N31" i="17" s="1"/>
  <c r="J31" i="17"/>
  <c r="J37" i="17"/>
  <c r="K37" i="17" s="1"/>
  <c r="M37" i="17"/>
  <c r="M35" i="17"/>
  <c r="N35" i="17" s="1"/>
  <c r="J35" i="17"/>
  <c r="K35" i="17" s="1"/>
  <c r="J39" i="17"/>
  <c r="M39" i="17"/>
  <c r="N39" i="17" s="1"/>
  <c r="M34" i="17"/>
  <c r="N34" i="17" s="1"/>
  <c r="J34" i="17"/>
  <c r="J29" i="17"/>
  <c r="K29" i="17" s="1"/>
  <c r="M29" i="17"/>
  <c r="N29" i="17" s="1"/>
  <c r="M30" i="17"/>
  <c r="J30" i="17"/>
  <c r="J33" i="17"/>
  <c r="M33" i="17"/>
  <c r="N33" i="17" s="1"/>
  <c r="J36" i="17"/>
  <c r="K36" i="17" s="1"/>
  <c r="M36" i="17"/>
  <c r="N36" i="17" s="1"/>
  <c r="J8" i="17"/>
  <c r="K8" i="17" s="1"/>
  <c r="M8" i="17"/>
  <c r="N8" i="17" s="1"/>
  <c r="J32" i="17"/>
  <c r="M32" i="17"/>
  <c r="M25" i="17"/>
  <c r="N25" i="17" s="1"/>
  <c r="J25" i="17"/>
  <c r="K25" i="17" s="1"/>
  <c r="J7" i="17"/>
  <c r="M7" i="17"/>
  <c r="M27" i="17"/>
  <c r="N27" i="17" s="1"/>
  <c r="J27" i="17"/>
  <c r="J18" i="17"/>
  <c r="M18" i="17"/>
  <c r="N18" i="17" s="1"/>
  <c r="J16" i="17"/>
  <c r="K16" i="17" s="1"/>
  <c r="M16" i="17"/>
  <c r="N16" i="17" s="1"/>
  <c r="N30" i="17" l="1"/>
  <c r="K30" i="17"/>
  <c r="K27" i="17"/>
  <c r="N32" i="17"/>
  <c r="N37" i="17"/>
  <c r="K31" i="17"/>
  <c r="K32" i="17"/>
  <c r="K33" i="17"/>
  <c r="K19" i="17"/>
  <c r="K39" i="17"/>
  <c r="K18" i="17"/>
  <c r="K34" i="17"/>
  <c r="J22" i="17"/>
  <c r="K22" i="17" s="1"/>
  <c r="M22" i="17"/>
  <c r="J20" i="17"/>
  <c r="M20" i="17"/>
  <c r="N20" i="17" s="1"/>
  <c r="J23" i="17"/>
  <c r="M23" i="17"/>
  <c r="M11" i="17"/>
  <c r="J11" i="17"/>
  <c r="K11" i="17" s="1"/>
  <c r="J9" i="17"/>
  <c r="M9" i="17"/>
  <c r="J15" i="17"/>
  <c r="M15" i="17"/>
  <c r="N15" i="17" s="1"/>
  <c r="K23" i="17" l="1"/>
  <c r="M21" i="17"/>
  <c r="J21" i="17"/>
  <c r="N23" i="17"/>
  <c r="N22" i="17"/>
  <c r="K20" i="17"/>
  <c r="J10" i="17"/>
  <c r="K10" i="17" s="1"/>
  <c r="M10" i="17"/>
  <c r="M12" i="17"/>
  <c r="N12" i="17" s="1"/>
  <c r="J12" i="17"/>
  <c r="K15" i="17"/>
  <c r="N9" i="17"/>
  <c r="K9" i="17"/>
  <c r="J13" i="17"/>
  <c r="K13" i="17" s="1"/>
  <c r="M13" i="17"/>
  <c r="N13" i="17" s="1"/>
  <c r="J14" i="17"/>
  <c r="M14" i="17"/>
  <c r="N11" i="17"/>
  <c r="K21" i="17" l="1"/>
  <c r="N21" i="17"/>
  <c r="N10" i="17"/>
  <c r="N14" i="17"/>
  <c r="K14" i="17"/>
  <c r="K12" i="17"/>
  <c r="N7" i="17" l="1"/>
  <c r="K7" i="17"/>
</calcChain>
</file>

<file path=xl/sharedStrings.xml><?xml version="1.0" encoding="utf-8"?>
<sst xmlns="http://schemas.openxmlformats.org/spreadsheetml/2006/main" count="163" uniqueCount="107">
  <si>
    <t>скидка 
от цены</t>
  </si>
  <si>
    <t>профит к цене</t>
  </si>
  <si>
    <t>РРЦ</t>
  </si>
  <si>
    <t>У</t>
  </si>
  <si>
    <t>Aeropac</t>
  </si>
  <si>
    <t xml:space="preserve"> Sonair</t>
  </si>
  <si>
    <t xml:space="preserve"> Марта</t>
  </si>
  <si>
    <t>iFresh</t>
  </si>
  <si>
    <t xml:space="preserve"> Селенга ФКО</t>
  </si>
  <si>
    <t>Aerovital</t>
  </si>
  <si>
    <t xml:space="preserve"> ВМ-200</t>
  </si>
  <si>
    <t>Цена, руб.</t>
  </si>
  <si>
    <t>Бренд</t>
  </si>
  <si>
    <t>BALLU AIR MASTER WARM</t>
  </si>
  <si>
    <t>BALLU AIR MASTER WARM CO2</t>
  </si>
  <si>
    <t>Тион О2 standart</t>
  </si>
  <si>
    <t>BALLU AIR MASTER BASE</t>
  </si>
  <si>
    <t>Тион О2 BASE</t>
  </si>
  <si>
    <t>BALLU AIR MASTER WARM CO2 WIFI</t>
  </si>
  <si>
    <t>квартал</t>
  </si>
  <si>
    <t>Тион MAC +MagicAir</t>
  </si>
  <si>
    <t>Датчик углекислого газа CO2-Z19</t>
  </si>
  <si>
    <t>Дилер</t>
  </si>
  <si>
    <t>Элемент нагревательный PTC-1200 для электроприборов</t>
  </si>
  <si>
    <t>Очиститель воздуха приточный Ballu ONEAIR ASP-80</t>
  </si>
  <si>
    <t>НС-1246469</t>
  </si>
  <si>
    <t>НС-1246471</t>
  </si>
  <si>
    <t>НС-1257155</t>
  </si>
  <si>
    <t>НС-1095052</t>
  </si>
  <si>
    <t>НС-1246466</t>
  </si>
  <si>
    <t>Фильтры и аксессуары для ASP-80/130</t>
  </si>
  <si>
    <t>Элемент нагревательный PTC-1000 для электроприборов</t>
  </si>
  <si>
    <t>НС-1095051</t>
  </si>
  <si>
    <t>Очиститель воздуха приточный Ballu ONEAIR ASP-200S</t>
  </si>
  <si>
    <t>НС-1428459</t>
  </si>
  <si>
    <t>Очиститель воздуха приточный Ballu ONEAIR ASP-200SP</t>
  </si>
  <si>
    <t>НС-1428461</t>
  </si>
  <si>
    <t>НС-1476053</t>
  </si>
  <si>
    <t>Очиститель воздуха приточный Ballu ONEAIR ASP-200SMAX</t>
  </si>
  <si>
    <t>НС-1476052</t>
  </si>
  <si>
    <t>Очиститель воздуха приточный Ballu ONEAIR ASP-200SPMAX</t>
  </si>
  <si>
    <t>Приточный очиститель воздуха Ballu ONEAIR ASP-200</t>
  </si>
  <si>
    <t>Приточный очиститель воздуха Ballu ONEAIR ASP-200P</t>
  </si>
  <si>
    <t>Текущий ассортимент</t>
  </si>
  <si>
    <t>Приточные очистители воздуха BALLU ONEAIR</t>
  </si>
  <si>
    <t>НС-1491996</t>
  </si>
  <si>
    <t>Очиститель воздуха приточный Ballu ONEAIR ASP-100</t>
  </si>
  <si>
    <t>Для ASP-200/P/S/SP</t>
  </si>
  <si>
    <t>Для ASP-100, ASP-200/P/S/SP</t>
  </si>
  <si>
    <t>ONEAIR ASP-80</t>
  </si>
  <si>
    <t>НС-код</t>
  </si>
  <si>
    <t>НС-1630295</t>
  </si>
  <si>
    <t>НС-1630296</t>
  </si>
  <si>
    <t>НС-1630297</t>
  </si>
  <si>
    <t>НС-1630302</t>
  </si>
  <si>
    <t>НС-1630304</t>
  </si>
  <si>
    <t>НС-1630305</t>
  </si>
  <si>
    <t>Очиститель воздуха приточный Ballu ONEAIR ASP-100H</t>
  </si>
  <si>
    <t>Очиститель воздуха приточный Ballu ONEAIR ASP-100WH</t>
  </si>
  <si>
    <t>Очиститель воздуха приточный Ballu ONEAIR ASP-100M</t>
  </si>
  <si>
    <t>Очиститель воздуха приточный Ballu ONEAIR ASP-100WM</t>
  </si>
  <si>
    <t>Очиститель воздуха приточный Ballu ONEAIR ASP-200SM</t>
  </si>
  <si>
    <t>Очиститель воздуха приточный Ballu ONEAIR ASP-200SPM</t>
  </si>
  <si>
    <t>НС-1496444</t>
  </si>
  <si>
    <t>Очиститель воздуха приточный Ballu ONEAIR ASP-100W</t>
  </si>
  <si>
    <t>НС-1615188</t>
  </si>
  <si>
    <t>НС-1615186</t>
  </si>
  <si>
    <t>НС-1615190</t>
  </si>
  <si>
    <t>Фильтр тонкой очистки Ballu FB-M5-2</t>
  </si>
  <si>
    <t>Фильтр высокоэффективный Ballu FB-H13-2</t>
  </si>
  <si>
    <t>Фильтр угольный Ballu FB-CARBON-2</t>
  </si>
  <si>
    <t>НС-1615183</t>
  </si>
  <si>
    <t>Фильтр высокоэффективный Ballu FB-H13-1</t>
  </si>
  <si>
    <t>НС-1595822</t>
  </si>
  <si>
    <t>Фильтр комбинированный Ballu FB-H13-CARBON</t>
  </si>
  <si>
    <t>Для ASP-100/W</t>
  </si>
  <si>
    <t>Матрица
У/Н</t>
  </si>
  <si>
    <t>НС-1431457</t>
  </si>
  <si>
    <t>Очиститель воздуха приточный Ballu ONEAIR ASP-200SW</t>
  </si>
  <si>
    <t>НС-1431459</t>
  </si>
  <si>
    <t>Очиститель воздуха приточный Ballu ONEAIR ASP-200SPW</t>
  </si>
  <si>
    <t>НС-1617902</t>
  </si>
  <si>
    <t>Фильтр высокоэффективный Ballu FB-H13-8</t>
  </si>
  <si>
    <t>С нагревательным элементом и датчиком СО2. Нет в наличии</t>
  </si>
  <si>
    <t>С нагревательным элементом и датчиком СО2</t>
  </si>
  <si>
    <t>Снят с производства</t>
  </si>
  <si>
    <t>ONEAIR ASP-100</t>
  </si>
  <si>
    <t>Опции и фильтры для ASP-200, ASP-100, ASP-80</t>
  </si>
  <si>
    <t>Описание, характеристики, наличие по ссылке:</t>
  </si>
  <si>
    <t>Для ASP-200*. Текущий ассортимент</t>
  </si>
  <si>
    <t>Для ASP-100. Текущий ассортимент</t>
  </si>
  <si>
    <t>ONEAIR ASP-200Х</t>
  </si>
  <si>
    <t>Категория А+</t>
  </si>
  <si>
    <t>Для ASP-80</t>
  </si>
  <si>
    <t>С нагревательным элементом. Виртуальный комплект</t>
  </si>
  <si>
    <t>С нагревательным элементом и датчиком СО2. Виртуальный комплект</t>
  </si>
  <si>
    <t>Д 1</t>
  </si>
  <si>
    <t>НС-1715497</t>
  </si>
  <si>
    <t>Элемент нагревательный PTC-1100 для электроприборов</t>
  </si>
  <si>
    <t>ONEAIR ASP-90</t>
  </si>
  <si>
    <t>Очиститель воздуха приточный Ballu ONEAIR ASP-90WB</t>
  </si>
  <si>
    <t>НС-1716648</t>
  </si>
  <si>
    <t>ЭКСКЛЮЗИВ РК МП</t>
  </si>
  <si>
    <t>&lt; 800 000 KZT</t>
  </si>
  <si>
    <t>РРЦ, РИЦ ТЕНГЕ
16.02.2026</t>
  </si>
  <si>
    <t>РИЦ OLD</t>
  </si>
  <si>
    <t xml:space="preserve"> от 800 000 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</si>
</sst>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_р_._-;\-* #,##0.00_р_._-;_-* &quot;-&quot;??_р_._-;_-@_-"/>
    <numFmt numFmtId="165" formatCode="#,##0_ ;\-#,##0\ "/>
    <numFmt numFmtId="167" formatCode="_-* #,##0_р_._-;\-* #,##0_р_._-;_-* &quot;-&quot;??_р_._-;_-@_-"/>
  </numFmts>
  <fonts count="46"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12"/>
      <name val="宋体"/>
      <family val="3"/>
      <charset val="13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sz val="11"/>
      <color indexed="8"/>
      <name val="Helvetica Neue"/>
    </font>
    <font>
      <sz val="10"/>
      <color indexed="9"/>
      <name val="Helvetica Neue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name val="Arial"/>
      <family val="2"/>
    </font>
    <font>
      <b/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u/>
      <sz val="10"/>
      <color theme="10"/>
      <name val="Arial"/>
      <family val="2"/>
      <charset val="204"/>
    </font>
    <font>
      <b/>
      <sz val="14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sz val="8"/>
      <color theme="0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0"/>
      <name val="Calibri"/>
      <family val="2"/>
      <charset val="204"/>
      <scheme val="minor"/>
    </font>
    <font>
      <b/>
      <sz val="13"/>
      <color theme="0"/>
      <name val="Calibri"/>
      <family val="2"/>
      <charset val="204"/>
      <scheme val="minor"/>
    </font>
    <font>
      <b/>
      <sz val="20"/>
      <color theme="0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b/>
      <sz val="20"/>
      <color theme="8" tint="-0.249977111117893"/>
      <name val="Calibri"/>
      <family val="2"/>
      <charset val="204"/>
      <scheme val="minor"/>
    </font>
    <font>
      <b/>
      <sz val="10"/>
      <color rgb="FF92D05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6D0DE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6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6" fillId="0" borderId="0">
      <alignment vertical="center"/>
    </xf>
    <xf numFmtId="0" fontId="17" fillId="0" borderId="0"/>
    <xf numFmtId="0" fontId="18" fillId="0" borderId="0"/>
    <xf numFmtId="0" fontId="9" fillId="0" borderId="0"/>
    <xf numFmtId="9" fontId="9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22" fillId="0" borderId="0" applyNumberFormat="0" applyFill="0" applyBorder="0" applyProtection="0">
      <alignment vertical="top"/>
    </xf>
    <xf numFmtId="9" fontId="23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0" fontId="26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3" fillId="0" borderId="0" applyNumberFormat="0" applyFill="0" applyBorder="0" applyAlignment="0" applyProtection="0"/>
  </cellStyleXfs>
  <cellXfs count="98">
    <xf numFmtId="0" fontId="0" fillId="0" borderId="0" xfId="0"/>
    <xf numFmtId="0" fontId="11" fillId="0" borderId="0" xfId="0" applyFont="1" applyAlignment="1">
      <alignment vertical="center"/>
    </xf>
    <xf numFmtId="0" fontId="12" fillId="0" borderId="0" xfId="0" applyFont="1"/>
    <xf numFmtId="0" fontId="0" fillId="0" borderId="1" xfId="0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67" fontId="14" fillId="0" borderId="1" xfId="1" applyNumberFormat="1" applyFont="1" applyBorder="1" applyAlignment="1">
      <alignment horizontal="left" vertical="center"/>
    </xf>
    <xf numFmtId="167" fontId="14" fillId="0" borderId="1" xfId="1" applyNumberFormat="1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67" fontId="15" fillId="0" borderId="1" xfId="1" applyNumberFormat="1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20" fillId="0" borderId="0" xfId="0" applyFont="1"/>
    <xf numFmtId="0" fontId="24" fillId="0" borderId="0" xfId="0" applyFont="1"/>
    <xf numFmtId="0" fontId="20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49" fontId="30" fillId="0" borderId="1" xfId="0" applyNumberFormat="1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3" fontId="21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2" borderId="0" xfId="0" applyFont="1" applyFill="1"/>
    <xf numFmtId="0" fontId="20" fillId="2" borderId="0" xfId="0" applyFont="1" applyFill="1"/>
    <xf numFmtId="0" fontId="24" fillId="2" borderId="0" xfId="0" applyFont="1" applyFill="1"/>
    <xf numFmtId="0" fontId="1" fillId="2" borderId="0" xfId="0" applyFont="1" applyFill="1" applyAlignment="1">
      <alignment horizontal="center"/>
    </xf>
    <xf numFmtId="9" fontId="25" fillId="2" borderId="1" xfId="2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9" fontId="35" fillId="3" borderId="1" xfId="0" applyNumberFormat="1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36" fillId="0" borderId="0" xfId="0" applyFont="1"/>
    <xf numFmtId="0" fontId="36" fillId="2" borderId="0" xfId="0" applyFont="1" applyFill="1"/>
    <xf numFmtId="0" fontId="37" fillId="0" borderId="0" xfId="0" applyFont="1" applyAlignment="1">
      <alignment vertical="center"/>
    </xf>
    <xf numFmtId="0" fontId="19" fillId="5" borderId="1" xfId="0" applyFont="1" applyFill="1" applyBorder="1" applyAlignment="1">
      <alignment horizontal="center" vertical="center" wrapText="1"/>
    </xf>
    <xf numFmtId="165" fontId="19" fillId="5" borderId="1" xfId="1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 indent="1"/>
    </xf>
    <xf numFmtId="0" fontId="25" fillId="2" borderId="5" xfId="0" applyFont="1" applyFill="1" applyBorder="1" applyAlignment="1">
      <alignment horizontal="left" vertical="center" wrapText="1" indent="1"/>
    </xf>
    <xf numFmtId="4" fontId="32" fillId="4" borderId="3" xfId="0" applyNumberFormat="1" applyFont="1" applyFill="1" applyBorder="1" applyAlignment="1">
      <alignment horizontal="left" vertical="center" wrapText="1" indent="1"/>
    </xf>
    <xf numFmtId="0" fontId="25" fillId="2" borderId="1" xfId="0" applyFont="1" applyFill="1" applyBorder="1" applyAlignment="1">
      <alignment horizontal="left" vertical="center" wrapText="1" indent="1"/>
    </xf>
    <xf numFmtId="0" fontId="34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left" vertical="center" wrapText="1" indent="1"/>
    </xf>
    <xf numFmtId="0" fontId="38" fillId="2" borderId="1" xfId="35" applyFont="1" applyFill="1" applyBorder="1" applyAlignment="1">
      <alignment horizontal="left" vertical="center" wrapText="1" indent="1"/>
    </xf>
    <xf numFmtId="0" fontId="38" fillId="5" borderId="1" xfId="35" applyFont="1" applyFill="1" applyBorder="1" applyAlignment="1">
      <alignment horizontal="left" vertical="center" wrapText="1" indent="1"/>
    </xf>
    <xf numFmtId="0" fontId="25" fillId="5" borderId="1" xfId="0" applyFont="1" applyFill="1" applyBorder="1" applyAlignment="1">
      <alignment horizontal="left" vertical="center" wrapText="1" indent="1"/>
    </xf>
    <xf numFmtId="0" fontId="25" fillId="2" borderId="1" xfId="0" applyFont="1" applyFill="1" applyBorder="1" applyAlignment="1">
      <alignment horizontal="center" vertical="center" wrapText="1"/>
    </xf>
    <xf numFmtId="0" fontId="32" fillId="4" borderId="2" xfId="0" applyFont="1" applyFill="1" applyBorder="1" applyAlignment="1">
      <alignment horizontal="center" vertical="center" wrapText="1"/>
    </xf>
    <xf numFmtId="0" fontId="31" fillId="2" borderId="6" xfId="0" applyFont="1" applyFill="1" applyBorder="1" applyAlignment="1">
      <alignment horizontal="center" vertical="center"/>
    </xf>
    <xf numFmtId="0" fontId="38" fillId="2" borderId="1" xfId="35" applyFont="1" applyFill="1" applyBorder="1" applyAlignment="1">
      <alignment horizontal="left" vertical="center" indent="1"/>
    </xf>
    <xf numFmtId="0" fontId="25" fillId="2" borderId="8" xfId="0" applyFont="1" applyFill="1" applyBorder="1" applyAlignment="1">
      <alignment horizontal="left" vertical="center" wrapText="1" indent="1"/>
    </xf>
    <xf numFmtId="0" fontId="39" fillId="0" borderId="0" xfId="0" applyFont="1" applyAlignment="1">
      <alignment vertical="center"/>
    </xf>
    <xf numFmtId="4" fontId="32" fillId="4" borderId="6" xfId="0" applyNumberFormat="1" applyFont="1" applyFill="1" applyBorder="1" applyAlignment="1">
      <alignment horizontal="center" vertical="center"/>
    </xf>
    <xf numFmtId="0" fontId="32" fillId="4" borderId="5" xfId="0" applyFont="1" applyFill="1" applyBorder="1" applyAlignment="1">
      <alignment horizontal="left" vertical="center" wrapText="1" indent="1"/>
    </xf>
    <xf numFmtId="4" fontId="32" fillId="4" borderId="5" xfId="0" applyNumberFormat="1" applyFont="1" applyFill="1" applyBorder="1" applyAlignment="1">
      <alignment horizontal="center" vertical="center"/>
    </xf>
    <xf numFmtId="49" fontId="32" fillId="4" borderId="2" xfId="0" applyNumberFormat="1" applyFont="1" applyFill="1" applyBorder="1" applyAlignment="1">
      <alignment horizontal="center" vertical="center"/>
    </xf>
    <xf numFmtId="0" fontId="39" fillId="2" borderId="0" xfId="0" applyFont="1" applyFill="1" applyAlignment="1">
      <alignment vertical="center"/>
    </xf>
    <xf numFmtId="9" fontId="32" fillId="3" borderId="6" xfId="0" applyNumberFormat="1" applyFont="1" applyFill="1" applyBorder="1" applyAlignment="1">
      <alignment horizontal="center" vertical="center"/>
    </xf>
    <xf numFmtId="9" fontId="40" fillId="4" borderId="2" xfId="2" applyFont="1" applyFill="1" applyBorder="1" applyAlignment="1">
      <alignment horizontal="center" vertical="center"/>
    </xf>
    <xf numFmtId="0" fontId="40" fillId="2" borderId="0" xfId="0" applyFont="1" applyFill="1" applyAlignment="1">
      <alignment vertical="center"/>
    </xf>
    <xf numFmtId="0" fontId="21" fillId="0" borderId="0" xfId="0" applyFont="1" applyAlignment="1">
      <alignment horizontal="left" vertical="center"/>
    </xf>
    <xf numFmtId="4" fontId="32" fillId="4" borderId="12" xfId="0" applyNumberFormat="1" applyFont="1" applyFill="1" applyBorder="1" applyAlignment="1">
      <alignment horizontal="center" vertical="center"/>
    </xf>
    <xf numFmtId="0" fontId="32" fillId="4" borderId="3" xfId="0" applyFont="1" applyFill="1" applyBorder="1" applyAlignment="1">
      <alignment horizontal="left" vertical="center" wrapText="1" indent="1"/>
    </xf>
    <xf numFmtId="0" fontId="41" fillId="4" borderId="2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 indent="1"/>
    </xf>
    <xf numFmtId="0" fontId="25" fillId="0" borderId="1" xfId="0" applyFont="1" applyBorder="1" applyAlignment="1">
      <alignment horizontal="center" vertical="center" wrapText="1"/>
    </xf>
    <xf numFmtId="4" fontId="43" fillId="4" borderId="3" xfId="0" applyNumberFormat="1" applyFont="1" applyFill="1" applyBorder="1" applyAlignment="1">
      <alignment horizontal="left" vertical="center" wrapText="1" indent="1"/>
    </xf>
    <xf numFmtId="0" fontId="38" fillId="0" borderId="1" xfId="35" applyFont="1" applyFill="1" applyBorder="1" applyAlignment="1">
      <alignment horizontal="left" vertical="center" wrapText="1" indent="1"/>
    </xf>
    <xf numFmtId="165" fontId="42" fillId="3" borderId="0" xfId="35" applyNumberFormat="1" applyFont="1" applyFill="1" applyBorder="1" applyAlignment="1">
      <alignment horizontal="center" vertical="center" wrapText="1"/>
    </xf>
    <xf numFmtId="165" fontId="44" fillId="3" borderId="0" xfId="35" applyNumberFormat="1" applyFont="1" applyFill="1" applyBorder="1" applyAlignment="1">
      <alignment horizontal="center" vertical="center" wrapText="1"/>
    </xf>
    <xf numFmtId="4" fontId="25" fillId="5" borderId="1" xfId="0" applyNumberFormat="1" applyFont="1" applyFill="1" applyBorder="1" applyAlignment="1">
      <alignment horizontal="center" vertical="center"/>
    </xf>
    <xf numFmtId="0" fontId="42" fillId="3" borderId="8" xfId="35" applyFont="1" applyFill="1" applyBorder="1" applyAlignment="1">
      <alignment horizontal="center" vertical="center" wrapText="1"/>
    </xf>
    <xf numFmtId="9" fontId="45" fillId="2" borderId="1" xfId="0" applyNumberFormat="1" applyFont="1" applyFill="1" applyBorder="1" applyAlignment="1">
      <alignment horizontal="center" vertical="center"/>
    </xf>
    <xf numFmtId="3" fontId="19" fillId="7" borderId="1" xfId="0" applyNumberFormat="1" applyFont="1" applyFill="1" applyBorder="1" applyAlignment="1">
      <alignment horizontal="center" vertical="center" wrapText="1"/>
    </xf>
    <xf numFmtId="9" fontId="35" fillId="6" borderId="6" xfId="0" applyNumberFormat="1" applyFont="1" applyFill="1" applyBorder="1" applyAlignment="1">
      <alignment horizontal="center" vertical="center" wrapText="1"/>
    </xf>
    <xf numFmtId="0" fontId="42" fillId="3" borderId="11" xfId="35" applyFont="1" applyFill="1" applyBorder="1" applyAlignment="1">
      <alignment horizontal="center" vertical="center" wrapText="1"/>
    </xf>
    <xf numFmtId="0" fontId="42" fillId="3" borderId="8" xfId="35" applyFont="1" applyFill="1" applyBorder="1" applyAlignment="1">
      <alignment horizontal="center" vertical="center" wrapText="1"/>
    </xf>
    <xf numFmtId="0" fontId="42" fillId="3" borderId="7" xfId="35" applyFont="1" applyFill="1" applyBorder="1" applyAlignment="1">
      <alignment horizontal="center" vertical="center" wrapText="1"/>
    </xf>
    <xf numFmtId="0" fontId="42" fillId="3" borderId="0" xfId="35" applyFont="1" applyFill="1" applyBorder="1" applyAlignment="1">
      <alignment horizontal="center" vertical="center" wrapText="1"/>
    </xf>
    <xf numFmtId="0" fontId="42" fillId="3" borderId="12" xfId="35" applyFont="1" applyFill="1" applyBorder="1" applyAlignment="1">
      <alignment horizontal="center" vertical="center" wrapText="1"/>
    </xf>
    <xf numFmtId="0" fontId="42" fillId="3" borderId="3" xfId="35" applyFont="1" applyFill="1" applyBorder="1" applyAlignment="1">
      <alignment horizontal="center" vertical="center" wrapText="1"/>
    </xf>
    <xf numFmtId="0" fontId="42" fillId="3" borderId="11" xfId="0" applyFont="1" applyFill="1" applyBorder="1" applyAlignment="1">
      <alignment horizontal="center" vertical="center" wrapText="1"/>
    </xf>
    <xf numFmtId="0" fontId="42" fillId="3" borderId="8" xfId="0" applyFont="1" applyFill="1" applyBorder="1" applyAlignment="1">
      <alignment horizontal="center" vertical="center" wrapText="1"/>
    </xf>
    <xf numFmtId="0" fontId="42" fillId="3" borderId="9" xfId="0" applyFont="1" applyFill="1" applyBorder="1" applyAlignment="1">
      <alignment horizontal="center" vertical="center" wrapText="1"/>
    </xf>
    <xf numFmtId="0" fontId="42" fillId="3" borderId="7" xfId="0" applyFont="1" applyFill="1" applyBorder="1" applyAlignment="1">
      <alignment horizontal="center" vertical="center" wrapText="1"/>
    </xf>
    <xf numFmtId="0" fontId="42" fillId="3" borderId="0" xfId="0" applyFont="1" applyFill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 wrapText="1"/>
    </xf>
    <xf numFmtId="0" fontId="42" fillId="3" borderId="12" xfId="0" applyFont="1" applyFill="1" applyBorder="1" applyAlignment="1">
      <alignment horizontal="center" vertical="center" wrapText="1"/>
    </xf>
    <xf numFmtId="0" fontId="42" fillId="3" borderId="3" xfId="0" applyFont="1" applyFill="1" applyBorder="1" applyAlignment="1">
      <alignment horizontal="center" vertical="center" wrapText="1"/>
    </xf>
    <xf numFmtId="0" fontId="42" fillId="3" borderId="10" xfId="0" applyFont="1" applyFill="1" applyBorder="1" applyAlignment="1">
      <alignment horizontal="center" vertical="center" wrapText="1"/>
    </xf>
    <xf numFmtId="1" fontId="19" fillId="2" borderId="6" xfId="0" applyNumberFormat="1" applyFont="1" applyFill="1" applyBorder="1" applyAlignment="1">
      <alignment horizontal="center" vertical="center"/>
    </xf>
    <xf numFmtId="1" fontId="19" fillId="2" borderId="2" xfId="0" applyNumberFormat="1" applyFont="1" applyFill="1" applyBorder="1" applyAlignment="1">
      <alignment horizontal="center" vertical="center"/>
    </xf>
    <xf numFmtId="9" fontId="41" fillId="6" borderId="6" xfId="0" applyNumberFormat="1" applyFont="1" applyFill="1" applyBorder="1" applyAlignment="1">
      <alignment horizontal="center" vertical="center" wrapText="1"/>
    </xf>
    <xf numFmtId="9" fontId="41" fillId="6" borderId="2" xfId="0" applyNumberFormat="1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</cellXfs>
  <cellStyles count="36">
    <cellStyle name="Excel Built-in Normal" xfId="5" xr:uid="{00000000-0005-0000-0000-000000000000}"/>
    <cellStyle name="Гиперссылка" xfId="35" builtinId="8"/>
    <cellStyle name="Обычный" xfId="0" builtinId="0"/>
    <cellStyle name="Обычный 2" xfId="4" xr:uid="{00000000-0005-0000-0000-000003000000}"/>
    <cellStyle name="Обычный 2 2" xfId="6" xr:uid="{00000000-0005-0000-0000-000004000000}"/>
    <cellStyle name="Обычный 2 3" xfId="13" xr:uid="{00000000-0005-0000-0000-000005000000}"/>
    <cellStyle name="Обычный 2 4" xfId="20" xr:uid="{00000000-0005-0000-0000-000006000000}"/>
    <cellStyle name="Обычный 3" xfId="8" xr:uid="{00000000-0005-0000-0000-000007000000}"/>
    <cellStyle name="Обычный 3 2" xfId="21" xr:uid="{00000000-0005-0000-0000-000008000000}"/>
    <cellStyle name="Обычный 4" xfId="10" xr:uid="{00000000-0005-0000-0000-000009000000}"/>
    <cellStyle name="Обычный 4 2" xfId="23" xr:uid="{00000000-0005-0000-0000-00000A000000}"/>
    <cellStyle name="Обычный 4 2 2" xfId="28" xr:uid="{00000000-0005-0000-0000-00000B000000}"/>
    <cellStyle name="Обычный 5" xfId="15" xr:uid="{00000000-0005-0000-0000-00000C000000}"/>
    <cellStyle name="Обычный 5 2" xfId="22" xr:uid="{00000000-0005-0000-0000-00000D000000}"/>
    <cellStyle name="Обычный 5 2 2" xfId="27" xr:uid="{00000000-0005-0000-0000-00000E000000}"/>
    <cellStyle name="Обычный 6" xfId="17" xr:uid="{00000000-0005-0000-0000-00000F000000}"/>
    <cellStyle name="Обычный 7" xfId="32" xr:uid="{00000000-0005-0000-0000-000010000000}"/>
    <cellStyle name="Процентный" xfId="2" builtinId="5"/>
    <cellStyle name="Процентный 2" xfId="7" xr:uid="{00000000-0005-0000-0000-000012000000}"/>
    <cellStyle name="Процентный 2 2" xfId="14" xr:uid="{00000000-0005-0000-0000-000013000000}"/>
    <cellStyle name="Процентный 2 3" xfId="26" xr:uid="{00000000-0005-0000-0000-000014000000}"/>
    <cellStyle name="Процентный 2 3 2" xfId="31" xr:uid="{00000000-0005-0000-0000-000015000000}"/>
    <cellStyle name="Процентный 3" xfId="12" xr:uid="{00000000-0005-0000-0000-000016000000}"/>
    <cellStyle name="Процентный 4" xfId="16" xr:uid="{00000000-0005-0000-0000-000017000000}"/>
    <cellStyle name="Процентный 5" xfId="19" xr:uid="{00000000-0005-0000-0000-000018000000}"/>
    <cellStyle name="Процентный 6" xfId="34" xr:uid="{00000000-0005-0000-0000-000019000000}"/>
    <cellStyle name="Финансовый" xfId="1" builtinId="3"/>
    <cellStyle name="Финансовый 2" xfId="9" xr:uid="{00000000-0005-0000-0000-00001B000000}"/>
    <cellStyle name="Финансовый 3" xfId="11" xr:uid="{00000000-0005-0000-0000-00001C000000}"/>
    <cellStyle name="Финансовый 3 2" xfId="25" xr:uid="{00000000-0005-0000-0000-00001D000000}"/>
    <cellStyle name="Финансовый 3 2 2" xfId="30" xr:uid="{00000000-0005-0000-0000-00001E000000}"/>
    <cellStyle name="Финансовый 4" xfId="18" xr:uid="{00000000-0005-0000-0000-00001F000000}"/>
    <cellStyle name="Финансовый 4 2" xfId="24" xr:uid="{00000000-0005-0000-0000-000020000000}"/>
    <cellStyle name="Финансовый 4 2 2" xfId="29" xr:uid="{00000000-0005-0000-0000-000021000000}"/>
    <cellStyle name="Финансовый 5" xfId="33" xr:uid="{00000000-0005-0000-0000-000022000000}"/>
    <cellStyle name="常规 2" xfId="3" xr:uid="{00000000-0005-0000-0000-000023000000}"/>
  </cellStyles>
  <dxfs count="0"/>
  <tableStyles count="0" defaultTableStyle="TableStyleMedium2" defaultPivotStyle="PivotStyleLight16"/>
  <colors>
    <mruColors>
      <color rgb="FF96D0DE"/>
      <color rgb="FFFFFA37"/>
      <color rgb="FF00CCFF"/>
      <color rgb="FF8FEAFF"/>
      <color rgb="FF69E2FF"/>
      <color rgb="FFB8B400"/>
      <color rgb="FF00FF00"/>
      <color rgb="FF66FF33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2b.rusklimat.com/catalog/product/ochistitel-vozdukha-pritochnyy-ballu-oneair-asp-200p/" TargetMode="External"/><Relationship Id="rId13" Type="http://schemas.openxmlformats.org/officeDocument/2006/relationships/hyperlink" Target="https://b2b.rusklimat.com/catalog/product/ochistitel-vozdukha-pritochnyy-ballu-oneair-asp-200sp/" TargetMode="External"/><Relationship Id="rId18" Type="http://schemas.openxmlformats.org/officeDocument/2006/relationships/hyperlink" Target="https://b2b.rusklimat.com/catalog/product/ochistitel-vozdukha-pritochnyy-ballu-oneair-asp-200smax/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b2b.rusklimat.com/catalog/product/element-nagrevatelnyy-ptc-1200-dlya-elektropriborov/" TargetMode="External"/><Relationship Id="rId21" Type="http://schemas.openxmlformats.org/officeDocument/2006/relationships/hyperlink" Target="https://b2b.rusklimat.com/catalog/product/ochistitel_vozdukha_pritochnyy_ballu_oneair_asp_100h/" TargetMode="External"/><Relationship Id="rId7" Type="http://schemas.openxmlformats.org/officeDocument/2006/relationships/hyperlink" Target="https://b2b.rusklimat.com/catalog/product/ochistitel-vozdukha-pritochnyy-ballu-oneair-asp-200/" TargetMode="External"/><Relationship Id="rId12" Type="http://schemas.openxmlformats.org/officeDocument/2006/relationships/hyperlink" Target="https://b2b.rusklimat.com/catalog/product/filtr-kombinirovannyy-ballu-hepa-h13-carbon/" TargetMode="External"/><Relationship Id="rId17" Type="http://schemas.openxmlformats.org/officeDocument/2006/relationships/hyperlink" Target="https://b2b.rusklimat.com/catalog/product/ochistitel-vozdukha-pritochnyy-ballu-oneair-asp-200spmax/" TargetMode="External"/><Relationship Id="rId25" Type="http://schemas.openxmlformats.org/officeDocument/2006/relationships/hyperlink" Target="https://b2b.rusklimat.com/catalog/product/ochistitel_vozdukha_pritochnyy_ballu_oneair_asp_90wb/" TargetMode="External"/><Relationship Id="rId2" Type="http://schemas.openxmlformats.org/officeDocument/2006/relationships/hyperlink" Target="https://b2b.rusklimat.com/catalog/product/ochistitel-vozdukha-pritochnyy-ballu-oneair-asp-100/" TargetMode="External"/><Relationship Id="rId16" Type="http://schemas.openxmlformats.org/officeDocument/2006/relationships/hyperlink" Target="https://b2b.rusklimat.com/catalog/product/filtr_vysokoeffektivnyy_ballu_fb_h13_8/" TargetMode="External"/><Relationship Id="rId20" Type="http://schemas.openxmlformats.org/officeDocument/2006/relationships/hyperlink" Target="https://b2b.rusklimat.com/catalog/product/ochistitel_vozdukha_pritochnyy_ballu_oneair_asp_200spw/" TargetMode="External"/><Relationship Id="rId1" Type="http://schemas.openxmlformats.org/officeDocument/2006/relationships/hyperlink" Target="https://b2b.rusklimat.com/catalog/product/ochistitel-vozdukha-pritochnyy-ballu-oneair-asp-200s/" TargetMode="External"/><Relationship Id="rId6" Type="http://schemas.openxmlformats.org/officeDocument/2006/relationships/hyperlink" Target="https://b2b.rusklimat.com/catalog/product/ochistitel-vozdukha-pritochnyy-ballu-oneair-asp-100-belyy/" TargetMode="External"/><Relationship Id="rId11" Type="http://schemas.openxmlformats.org/officeDocument/2006/relationships/hyperlink" Target="https://b2b.rusklimat.com/catalog/product/filtr_ugolnyy_ballu_fb_carbon_2/" TargetMode="External"/><Relationship Id="rId24" Type="http://schemas.openxmlformats.org/officeDocument/2006/relationships/hyperlink" Target="https://b2b.rusklimat.com/catalog/product/ochistitel_vozdukha_pritochnyy_ballu_oneair_asp_100wm/" TargetMode="External"/><Relationship Id="rId5" Type="http://schemas.openxmlformats.org/officeDocument/2006/relationships/hyperlink" Target="https://b2b.rusklimat.com/catalog/product/ochistitel-vozdukha-pritochnyy-ballu-oneair-asp-80/" TargetMode="External"/><Relationship Id="rId15" Type="http://schemas.openxmlformats.org/officeDocument/2006/relationships/hyperlink" Target="https://b2b.rusklimat.com/catalog/product/filtr_vysokoeffektivnyy_ballu_fb_h13_1/" TargetMode="External"/><Relationship Id="rId23" Type="http://schemas.openxmlformats.org/officeDocument/2006/relationships/hyperlink" Target="https://b2b.rusklimat.com/catalog/product/ochistitel_vozdukha_pritochnyy_ballu_oneair_asp_100m/" TargetMode="External"/><Relationship Id="rId10" Type="http://schemas.openxmlformats.org/officeDocument/2006/relationships/hyperlink" Target="https://b2b.rusklimat.com/catalog/product/filtr_vysokoeffektivnyy_ballu_fb_h13_2/" TargetMode="External"/><Relationship Id="rId19" Type="http://schemas.openxmlformats.org/officeDocument/2006/relationships/hyperlink" Target="https://b2b.rusklimat.com/catalog/product/ochistitel_vozdukha_pritochnyy_ballu_oneair_asp_200sw/" TargetMode="External"/><Relationship Id="rId4" Type="http://schemas.openxmlformats.org/officeDocument/2006/relationships/hyperlink" Target="https://b2b.rusklimat.com/catalog/product/datchik-uglekislogo-gaza-co2-z19/" TargetMode="External"/><Relationship Id="rId9" Type="http://schemas.openxmlformats.org/officeDocument/2006/relationships/hyperlink" Target="https://b2b.rusklimat.com/catalog/product/element-nagrevatelnyy-ptc-1000-dlya-elektropriborov/" TargetMode="External"/><Relationship Id="rId14" Type="http://schemas.openxmlformats.org/officeDocument/2006/relationships/hyperlink" Target="https://b2b.rusklimat.com/catalog/product/filtr_tonkoy_ochistki_ballu_fb_m5_2/" TargetMode="External"/><Relationship Id="rId22" Type="http://schemas.openxmlformats.org/officeDocument/2006/relationships/hyperlink" Target="https://b2b.rusklimat.com/catalog/product/ochistitel_vozdukha_pritochnyy_ballu_oneair_asp_100wh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O62"/>
  <sheetViews>
    <sheetView showGridLines="0" tabSelected="1" topLeftCell="D1" zoomScale="70" zoomScaleNormal="70" workbookViewId="0">
      <selection activeCell="P1" sqref="P1:AC1048576"/>
    </sheetView>
  </sheetViews>
  <sheetFormatPr defaultColWidth="9.109375" defaultRowHeight="14.4" outlineLevelCol="1"/>
  <cols>
    <col min="1" max="1" width="0.88671875" style="10" customWidth="1"/>
    <col min="2" max="2" width="18.44140625" style="17" customWidth="1"/>
    <col min="3" max="3" width="75.33203125" style="12" customWidth="1"/>
    <col min="4" max="4" width="49.44140625" style="18" customWidth="1"/>
    <col min="5" max="5" width="10" style="10" customWidth="1"/>
    <col min="6" max="6" width="15.88671875" style="10" customWidth="1"/>
    <col min="7" max="7" width="5" style="10" customWidth="1"/>
    <col min="8" max="8" width="11.44140625" style="10" customWidth="1"/>
    <col min="9" max="9" width="1" style="21" customWidth="1"/>
    <col min="10" max="10" width="15.33203125" style="10" customWidth="1" outlineLevel="1"/>
    <col min="11" max="11" width="10.109375" style="10" customWidth="1" outlineLevel="1"/>
    <col min="12" max="12" width="0.88671875" style="21" customWidth="1" outlineLevel="1"/>
    <col min="13" max="13" width="15.33203125" style="10" customWidth="1" outlineLevel="1"/>
    <col min="14" max="14" width="10.109375" style="10" customWidth="1" outlineLevel="1"/>
    <col min="15" max="15" width="0.88671875" style="21" customWidth="1" outlineLevel="1"/>
    <col min="16" max="16384" width="9.109375" style="10"/>
  </cols>
  <sheetData>
    <row r="1" spans="1:15" s="21" customFormat="1" ht="4.3499999999999996" customHeight="1">
      <c r="B1" s="26"/>
      <c r="C1" s="27"/>
      <c r="D1" s="28"/>
    </row>
    <row r="2" spans="1:15" s="15" customFormat="1" ht="25.2" customHeight="1">
      <c r="A2" s="11"/>
      <c r="B2" s="78" t="s">
        <v>44</v>
      </c>
      <c r="C2" s="79"/>
      <c r="D2" s="79"/>
      <c r="E2" s="74"/>
      <c r="F2" s="84" t="s">
        <v>92</v>
      </c>
      <c r="G2" s="85"/>
      <c r="H2" s="86"/>
      <c r="I2" s="22"/>
      <c r="J2" s="97" t="s">
        <v>22</v>
      </c>
      <c r="K2" s="97"/>
      <c r="L2" s="22"/>
      <c r="M2" s="97" t="s">
        <v>96</v>
      </c>
      <c r="N2" s="97"/>
      <c r="O2" s="22"/>
    </row>
    <row r="3" spans="1:15" s="1" customFormat="1" ht="33" customHeight="1">
      <c r="A3" s="10"/>
      <c r="B3" s="80"/>
      <c r="C3" s="81"/>
      <c r="D3" s="81"/>
      <c r="E3" s="71"/>
      <c r="F3" s="87"/>
      <c r="G3" s="88"/>
      <c r="H3" s="89"/>
      <c r="I3" s="21"/>
      <c r="J3" s="34" t="s">
        <v>19</v>
      </c>
      <c r="K3" s="35" t="s">
        <v>103</v>
      </c>
      <c r="L3" s="23"/>
      <c r="M3" s="34" t="s">
        <v>19</v>
      </c>
      <c r="N3" s="35" t="s">
        <v>106</v>
      </c>
      <c r="O3" s="23"/>
    </row>
    <row r="4" spans="1:15" s="33" customFormat="1" ht="36.6" customHeight="1">
      <c r="A4" s="31"/>
      <c r="B4" s="80"/>
      <c r="C4" s="81"/>
      <c r="D4" s="81"/>
      <c r="E4" s="72"/>
      <c r="F4" s="87"/>
      <c r="G4" s="88"/>
      <c r="H4" s="89"/>
      <c r="I4" s="32"/>
      <c r="J4" s="29" t="s">
        <v>0</v>
      </c>
      <c r="K4" s="30" t="s">
        <v>1</v>
      </c>
      <c r="L4" s="32"/>
      <c r="M4" s="29" t="s">
        <v>0</v>
      </c>
      <c r="N4" s="30" t="s">
        <v>1</v>
      </c>
      <c r="O4" s="32"/>
    </row>
    <row r="5" spans="1:15" s="13" customFormat="1" ht="25.8">
      <c r="A5" s="19"/>
      <c r="B5" s="82"/>
      <c r="C5" s="83"/>
      <c r="D5" s="83"/>
      <c r="E5" s="72"/>
      <c r="F5" s="90"/>
      <c r="G5" s="91"/>
      <c r="H5" s="92"/>
      <c r="I5" s="20"/>
      <c r="J5" s="93" t="s">
        <v>2</v>
      </c>
      <c r="K5" s="94"/>
      <c r="L5" s="20"/>
      <c r="M5" s="93" t="s">
        <v>2</v>
      </c>
      <c r="N5" s="94"/>
      <c r="O5" s="20"/>
    </row>
    <row r="6" spans="1:15" s="61" customFormat="1" ht="36">
      <c r="A6" s="52"/>
      <c r="B6" s="62" t="s">
        <v>50</v>
      </c>
      <c r="C6" s="63" t="s">
        <v>91</v>
      </c>
      <c r="D6" s="38" t="s">
        <v>88</v>
      </c>
      <c r="E6" s="77" t="s">
        <v>105</v>
      </c>
      <c r="F6" s="95" t="s">
        <v>104</v>
      </c>
      <c r="G6" s="96"/>
      <c r="H6" s="64" t="s">
        <v>76</v>
      </c>
      <c r="I6" s="57"/>
      <c r="J6" s="58">
        <v>-0.2</v>
      </c>
      <c r="K6" s="59"/>
      <c r="L6" s="60"/>
      <c r="M6" s="58">
        <v>-0.25</v>
      </c>
      <c r="N6" s="59"/>
      <c r="O6" s="60"/>
    </row>
    <row r="7" spans="1:15" s="15" customFormat="1" ht="33.15" customHeight="1">
      <c r="A7" s="11"/>
      <c r="B7" s="42" t="s">
        <v>34</v>
      </c>
      <c r="C7" s="43" t="s">
        <v>33</v>
      </c>
      <c r="D7" s="44" t="s">
        <v>43</v>
      </c>
      <c r="E7" s="76">
        <v>311190</v>
      </c>
      <c r="F7" s="16">
        <v>327590</v>
      </c>
      <c r="G7" s="75">
        <v>5.2700922266139649E-2</v>
      </c>
      <c r="H7" s="25" t="s">
        <v>3</v>
      </c>
      <c r="I7" s="22"/>
      <c r="J7" s="73">
        <f>ROUND(($F7+$F7*$J$6),0)</f>
        <v>262072</v>
      </c>
      <c r="K7" s="24">
        <f t="shared" ref="K7" si="0">F7/J7-1</f>
        <v>0.25</v>
      </c>
      <c r="L7" s="22"/>
      <c r="M7" s="73">
        <f>ROUND(($F7+$F7*M$6),0)</f>
        <v>245693</v>
      </c>
      <c r="N7" s="24">
        <f t="shared" ref="N7" si="1">F7/M7-1</f>
        <v>0.33333061991998147</v>
      </c>
      <c r="O7" s="22"/>
    </row>
    <row r="8" spans="1:15" s="15" customFormat="1" ht="33.15" customHeight="1">
      <c r="A8" s="11"/>
      <c r="B8" s="42" t="s">
        <v>36</v>
      </c>
      <c r="C8" s="43" t="s">
        <v>35</v>
      </c>
      <c r="D8" s="44" t="s">
        <v>43</v>
      </c>
      <c r="E8" s="76">
        <v>311190</v>
      </c>
      <c r="F8" s="16">
        <v>327590</v>
      </c>
      <c r="G8" s="75">
        <v>5.2700922266139649E-2</v>
      </c>
      <c r="H8" s="25" t="s">
        <v>3</v>
      </c>
      <c r="I8" s="22"/>
      <c r="J8" s="73">
        <f t="shared" ref="J8:J39" si="2">ROUND(($F8+$F8*$J$6),0)</f>
        <v>262072</v>
      </c>
      <c r="K8" s="24">
        <f t="shared" ref="K8:K39" si="3">F8/J8-1</f>
        <v>0.25</v>
      </c>
      <c r="L8" s="22"/>
      <c r="M8" s="73">
        <f t="shared" ref="M8:M39" si="4">ROUND(($F8+$F8*M$6),0)</f>
        <v>245693</v>
      </c>
      <c r="N8" s="24">
        <f t="shared" ref="N8:N39" si="5">F8/M8-1</f>
        <v>0.33333061991998147</v>
      </c>
      <c r="O8" s="22"/>
    </row>
    <row r="9" spans="1:15" s="15" customFormat="1" ht="33.15" customHeight="1">
      <c r="A9" s="11"/>
      <c r="B9" s="66" t="s">
        <v>77</v>
      </c>
      <c r="C9" s="67" t="s">
        <v>78</v>
      </c>
      <c r="D9" s="70" t="s">
        <v>94</v>
      </c>
      <c r="E9" s="76">
        <v>328080</v>
      </c>
      <c r="F9" s="16">
        <v>345490</v>
      </c>
      <c r="G9" s="75">
        <v>5.3066325286515559E-2</v>
      </c>
      <c r="H9" s="14" t="s">
        <v>3</v>
      </c>
      <c r="I9" s="22"/>
      <c r="J9" s="73">
        <f t="shared" si="2"/>
        <v>276392</v>
      </c>
      <c r="K9" s="24">
        <f t="shared" si="3"/>
        <v>0.25</v>
      </c>
      <c r="L9" s="22"/>
      <c r="M9" s="73">
        <f t="shared" si="4"/>
        <v>259118</v>
      </c>
      <c r="N9" s="24">
        <f t="shared" si="5"/>
        <v>0.33333076050293697</v>
      </c>
      <c r="O9" s="22"/>
    </row>
    <row r="10" spans="1:15" s="15" customFormat="1" ht="33.15" customHeight="1">
      <c r="A10" s="11"/>
      <c r="B10" s="68" t="s">
        <v>79</v>
      </c>
      <c r="C10" s="67" t="s">
        <v>80</v>
      </c>
      <c r="D10" s="70" t="s">
        <v>94</v>
      </c>
      <c r="E10" s="76">
        <v>328080</v>
      </c>
      <c r="F10" s="16">
        <v>345490</v>
      </c>
      <c r="G10" s="75">
        <v>5.3066325286515559E-2</v>
      </c>
      <c r="H10" s="14" t="s">
        <v>3</v>
      </c>
      <c r="I10" s="22"/>
      <c r="J10" s="73">
        <f t="shared" si="2"/>
        <v>276392</v>
      </c>
      <c r="K10" s="24">
        <f t="shared" si="3"/>
        <v>0.25</v>
      </c>
      <c r="L10" s="22"/>
      <c r="M10" s="73">
        <f t="shared" si="4"/>
        <v>259118</v>
      </c>
      <c r="N10" s="24">
        <f t="shared" si="5"/>
        <v>0.33333076050293697</v>
      </c>
      <c r="O10" s="22"/>
    </row>
    <row r="11" spans="1:15" s="15" customFormat="1" ht="33.15" customHeight="1">
      <c r="A11" s="11"/>
      <c r="B11" s="49" t="s">
        <v>37</v>
      </c>
      <c r="C11" s="43" t="s">
        <v>38</v>
      </c>
      <c r="D11" s="44" t="s">
        <v>84</v>
      </c>
      <c r="E11" s="76">
        <v>362570</v>
      </c>
      <c r="F11" s="16">
        <v>381690</v>
      </c>
      <c r="G11" s="75">
        <v>5.2734644344540449E-2</v>
      </c>
      <c r="H11" s="14" t="s">
        <v>3</v>
      </c>
      <c r="I11" s="22"/>
      <c r="J11" s="73">
        <f t="shared" si="2"/>
        <v>305352</v>
      </c>
      <c r="K11" s="24">
        <f t="shared" si="3"/>
        <v>0.25</v>
      </c>
      <c r="L11" s="22"/>
      <c r="M11" s="73">
        <f t="shared" si="4"/>
        <v>286268</v>
      </c>
      <c r="N11" s="24">
        <f t="shared" si="5"/>
        <v>0.33333100451325337</v>
      </c>
      <c r="O11" s="22"/>
    </row>
    <row r="12" spans="1:15" s="15" customFormat="1" ht="33.15" customHeight="1">
      <c r="A12" s="11"/>
      <c r="B12" s="42" t="s">
        <v>39</v>
      </c>
      <c r="C12" s="43" t="s">
        <v>40</v>
      </c>
      <c r="D12" s="44" t="s">
        <v>84</v>
      </c>
      <c r="E12" s="76">
        <v>362570</v>
      </c>
      <c r="F12" s="16">
        <v>381690</v>
      </c>
      <c r="G12" s="75">
        <v>5.2734644344540449E-2</v>
      </c>
      <c r="H12" s="14" t="s">
        <v>3</v>
      </c>
      <c r="I12" s="22"/>
      <c r="J12" s="73">
        <f t="shared" si="2"/>
        <v>305352</v>
      </c>
      <c r="K12" s="24">
        <f t="shared" si="3"/>
        <v>0.25</v>
      </c>
      <c r="L12" s="22"/>
      <c r="M12" s="73">
        <f t="shared" si="4"/>
        <v>286268</v>
      </c>
      <c r="N12" s="24">
        <f t="shared" si="5"/>
        <v>0.33333100451325337</v>
      </c>
      <c r="O12" s="22"/>
    </row>
    <row r="13" spans="1:15" s="15" customFormat="1" ht="33.15" hidden="1" customHeight="1">
      <c r="A13" s="11"/>
      <c r="B13" s="65" t="s">
        <v>55</v>
      </c>
      <c r="C13" s="46" t="s">
        <v>61</v>
      </c>
      <c r="D13" s="46" t="s">
        <v>83</v>
      </c>
      <c r="E13" s="16"/>
      <c r="F13" s="16">
        <v>381590</v>
      </c>
      <c r="G13" s="14"/>
      <c r="H13" s="14" t="s">
        <v>3</v>
      </c>
      <c r="I13" s="22"/>
      <c r="J13" s="73">
        <f t="shared" si="2"/>
        <v>305272</v>
      </c>
      <c r="K13" s="24">
        <f t="shared" si="3"/>
        <v>0.25</v>
      </c>
      <c r="L13" s="22"/>
      <c r="M13" s="73">
        <f t="shared" si="4"/>
        <v>286193</v>
      </c>
      <c r="N13" s="24">
        <f t="shared" si="5"/>
        <v>0.33333100390296067</v>
      </c>
      <c r="O13" s="22"/>
    </row>
    <row r="14" spans="1:15" s="15" customFormat="1" ht="33.15" hidden="1" customHeight="1">
      <c r="A14" s="11"/>
      <c r="B14" s="65" t="s">
        <v>56</v>
      </c>
      <c r="C14" s="46" t="s">
        <v>62</v>
      </c>
      <c r="D14" s="46" t="s">
        <v>83</v>
      </c>
      <c r="E14" s="16"/>
      <c r="F14" s="16">
        <v>381590</v>
      </c>
      <c r="G14" s="14"/>
      <c r="H14" s="14" t="s">
        <v>3</v>
      </c>
      <c r="I14" s="22"/>
      <c r="J14" s="73">
        <f t="shared" si="2"/>
        <v>305272</v>
      </c>
      <c r="K14" s="24">
        <f t="shared" si="3"/>
        <v>0.25</v>
      </c>
      <c r="L14" s="22"/>
      <c r="M14" s="73">
        <f t="shared" si="4"/>
        <v>286193</v>
      </c>
      <c r="N14" s="24">
        <f t="shared" si="5"/>
        <v>0.33333100390296067</v>
      </c>
      <c r="O14" s="22"/>
    </row>
    <row r="15" spans="1:15" s="15" customFormat="1" ht="33.15" hidden="1" customHeight="1">
      <c r="A15" s="11"/>
      <c r="B15" s="65" t="s">
        <v>25</v>
      </c>
      <c r="C15" s="46" t="s">
        <v>41</v>
      </c>
      <c r="D15" s="45" t="s">
        <v>85</v>
      </c>
      <c r="E15" s="16"/>
      <c r="F15" s="16">
        <v>327590</v>
      </c>
      <c r="G15" s="14"/>
      <c r="H15" s="14" t="s">
        <v>3</v>
      </c>
      <c r="I15" s="22"/>
      <c r="J15" s="73">
        <f t="shared" si="2"/>
        <v>262072</v>
      </c>
      <c r="K15" s="24">
        <f t="shared" si="3"/>
        <v>0.25</v>
      </c>
      <c r="L15" s="22"/>
      <c r="M15" s="73">
        <f t="shared" si="4"/>
        <v>245693</v>
      </c>
      <c r="N15" s="24">
        <f t="shared" si="5"/>
        <v>0.33333061991998147</v>
      </c>
      <c r="O15" s="22"/>
    </row>
    <row r="16" spans="1:15" s="15" customFormat="1" ht="33.15" hidden="1" customHeight="1">
      <c r="A16" s="11"/>
      <c r="B16" s="65" t="s">
        <v>26</v>
      </c>
      <c r="C16" s="46" t="s">
        <v>42</v>
      </c>
      <c r="D16" s="45" t="s">
        <v>85</v>
      </c>
      <c r="E16" s="16"/>
      <c r="F16" s="16">
        <v>327590</v>
      </c>
      <c r="G16" s="14"/>
      <c r="H16" s="14" t="s">
        <v>3</v>
      </c>
      <c r="I16" s="22"/>
      <c r="J16" s="73">
        <f t="shared" si="2"/>
        <v>262072</v>
      </c>
      <c r="K16" s="24">
        <f t="shared" si="3"/>
        <v>0.25</v>
      </c>
      <c r="L16" s="22"/>
      <c r="M16" s="73">
        <f t="shared" si="4"/>
        <v>245693</v>
      </c>
      <c r="N16" s="24">
        <f t="shared" si="5"/>
        <v>0.33333061991998147</v>
      </c>
      <c r="O16" s="22"/>
    </row>
    <row r="17" spans="1:15" s="61" customFormat="1" ht="18">
      <c r="A17" s="52"/>
      <c r="B17" s="62" t="s">
        <v>50</v>
      </c>
      <c r="C17" s="63" t="s">
        <v>86</v>
      </c>
      <c r="D17" s="69" t="s">
        <v>88</v>
      </c>
      <c r="E17" s="55"/>
      <c r="F17" s="55"/>
      <c r="G17" s="48"/>
      <c r="H17" s="48"/>
      <c r="I17" s="57"/>
      <c r="J17" s="58">
        <v>-0.2</v>
      </c>
      <c r="K17" s="59"/>
      <c r="L17" s="60"/>
      <c r="M17" s="58">
        <v>-0.25</v>
      </c>
      <c r="N17" s="59"/>
      <c r="O17" s="60"/>
    </row>
    <row r="18" spans="1:15" s="15" customFormat="1" ht="33.15" customHeight="1">
      <c r="A18" s="11"/>
      <c r="B18" s="42" t="s">
        <v>45</v>
      </c>
      <c r="C18" s="43" t="s">
        <v>46</v>
      </c>
      <c r="D18" s="50" t="s">
        <v>43</v>
      </c>
      <c r="E18" s="76">
        <v>192890</v>
      </c>
      <c r="F18" s="16">
        <v>203390</v>
      </c>
      <c r="G18" s="75">
        <v>5.4435170304318437E-2</v>
      </c>
      <c r="H18" s="25" t="s">
        <v>3</v>
      </c>
      <c r="I18" s="22"/>
      <c r="J18" s="73">
        <f t="shared" si="2"/>
        <v>162712</v>
      </c>
      <c r="K18" s="24">
        <f t="shared" si="3"/>
        <v>0.25</v>
      </c>
      <c r="L18" s="22"/>
      <c r="M18" s="73">
        <f t="shared" si="4"/>
        <v>152543</v>
      </c>
      <c r="N18" s="24">
        <f t="shared" si="5"/>
        <v>0.33332896298092995</v>
      </c>
      <c r="O18" s="22"/>
    </row>
    <row r="19" spans="1:15" s="15" customFormat="1" ht="33.15" customHeight="1">
      <c r="A19" s="11"/>
      <c r="B19" s="42" t="s">
        <v>63</v>
      </c>
      <c r="C19" s="43" t="s">
        <v>64</v>
      </c>
      <c r="D19" s="50" t="s">
        <v>43</v>
      </c>
      <c r="E19" s="76">
        <v>192890</v>
      </c>
      <c r="F19" s="16">
        <v>203390</v>
      </c>
      <c r="G19" s="75">
        <v>5.4435170304318437E-2</v>
      </c>
      <c r="H19" s="25" t="s">
        <v>3</v>
      </c>
      <c r="I19" s="22"/>
      <c r="J19" s="73">
        <f t="shared" si="2"/>
        <v>162712</v>
      </c>
      <c r="K19" s="24">
        <f t="shared" si="3"/>
        <v>0.25</v>
      </c>
      <c r="L19" s="22"/>
      <c r="M19" s="73">
        <f t="shared" si="4"/>
        <v>152543</v>
      </c>
      <c r="N19" s="24">
        <f t="shared" si="5"/>
        <v>0.33332896298092995</v>
      </c>
      <c r="O19" s="22"/>
    </row>
    <row r="20" spans="1:15" s="15" customFormat="1" ht="33.15" customHeight="1">
      <c r="A20" s="11"/>
      <c r="B20" s="65" t="s">
        <v>51</v>
      </c>
      <c r="C20" s="46" t="s">
        <v>57</v>
      </c>
      <c r="D20" s="45" t="s">
        <v>94</v>
      </c>
      <c r="E20" s="76">
        <v>207380</v>
      </c>
      <c r="F20" s="16">
        <v>218190</v>
      </c>
      <c r="G20" s="75">
        <v>5.2126531005882937E-2</v>
      </c>
      <c r="H20" s="14" t="s">
        <v>3</v>
      </c>
      <c r="I20" s="22"/>
      <c r="J20" s="73">
        <f t="shared" si="2"/>
        <v>174552</v>
      </c>
      <c r="K20" s="24">
        <f t="shared" si="3"/>
        <v>0.25</v>
      </c>
      <c r="L20" s="22"/>
      <c r="M20" s="73">
        <f t="shared" si="4"/>
        <v>163643</v>
      </c>
      <c r="N20" s="24">
        <f t="shared" si="5"/>
        <v>0.333329259424479</v>
      </c>
      <c r="O20" s="22"/>
    </row>
    <row r="21" spans="1:15" s="15" customFormat="1" ht="33.15" customHeight="1">
      <c r="A21" s="11"/>
      <c r="B21" s="65" t="s">
        <v>52</v>
      </c>
      <c r="C21" s="46" t="s">
        <v>58</v>
      </c>
      <c r="D21" s="45" t="s">
        <v>94</v>
      </c>
      <c r="E21" s="76">
        <v>207380</v>
      </c>
      <c r="F21" s="16">
        <v>218190</v>
      </c>
      <c r="G21" s="75">
        <v>5.2126531005882937E-2</v>
      </c>
      <c r="H21" s="14" t="s">
        <v>3</v>
      </c>
      <c r="I21" s="22"/>
      <c r="J21" s="73">
        <f t="shared" si="2"/>
        <v>174552</v>
      </c>
      <c r="K21" s="24">
        <f t="shared" si="3"/>
        <v>0.25</v>
      </c>
      <c r="L21" s="22"/>
      <c r="M21" s="73">
        <f t="shared" si="4"/>
        <v>163643</v>
      </c>
      <c r="N21" s="24">
        <f t="shared" si="5"/>
        <v>0.333329259424479</v>
      </c>
      <c r="O21" s="22"/>
    </row>
    <row r="22" spans="1:15" s="15" customFormat="1" ht="31.2">
      <c r="A22" s="11"/>
      <c r="B22" s="65" t="s">
        <v>53</v>
      </c>
      <c r="C22" s="46" t="s">
        <v>59</v>
      </c>
      <c r="D22" s="45" t="s">
        <v>95</v>
      </c>
      <c r="E22" s="76">
        <v>241870</v>
      </c>
      <c r="F22" s="16">
        <v>254390</v>
      </c>
      <c r="G22" s="75">
        <v>5.1763343945094409E-2</v>
      </c>
      <c r="H22" s="14" t="s">
        <v>3</v>
      </c>
      <c r="I22" s="22"/>
      <c r="J22" s="73">
        <f t="shared" si="2"/>
        <v>203512</v>
      </c>
      <c r="K22" s="24">
        <f t="shared" si="3"/>
        <v>0.25</v>
      </c>
      <c r="L22" s="22"/>
      <c r="M22" s="73">
        <f t="shared" si="4"/>
        <v>190793</v>
      </c>
      <c r="N22" s="24">
        <f t="shared" si="5"/>
        <v>0.33332983914504211</v>
      </c>
      <c r="O22" s="22"/>
    </row>
    <row r="23" spans="1:15" s="15" customFormat="1" ht="31.2">
      <c r="A23" s="11"/>
      <c r="B23" s="65" t="s">
        <v>54</v>
      </c>
      <c r="C23" s="46" t="s">
        <v>60</v>
      </c>
      <c r="D23" s="45" t="s">
        <v>95</v>
      </c>
      <c r="E23" s="76">
        <v>241870</v>
      </c>
      <c r="F23" s="16">
        <v>254390</v>
      </c>
      <c r="G23" s="75">
        <v>5.1763343945094409E-2</v>
      </c>
      <c r="H23" s="14" t="s">
        <v>3</v>
      </c>
      <c r="I23" s="22"/>
      <c r="J23" s="73">
        <f t="shared" si="2"/>
        <v>203512</v>
      </c>
      <c r="K23" s="24">
        <f t="shared" si="3"/>
        <v>0.25</v>
      </c>
      <c r="L23" s="22"/>
      <c r="M23" s="73">
        <f t="shared" si="4"/>
        <v>190793</v>
      </c>
      <c r="N23" s="24">
        <f t="shared" si="5"/>
        <v>0.33332983914504211</v>
      </c>
      <c r="O23" s="22"/>
    </row>
    <row r="24" spans="1:15" s="61" customFormat="1" ht="18">
      <c r="A24" s="52"/>
      <c r="B24" s="53" t="s">
        <v>50</v>
      </c>
      <c r="C24" s="54" t="s">
        <v>99</v>
      </c>
      <c r="D24" s="69" t="s">
        <v>88</v>
      </c>
      <c r="E24" s="55"/>
      <c r="F24" s="55"/>
      <c r="G24" s="56"/>
      <c r="H24" s="56"/>
      <c r="I24" s="57"/>
      <c r="J24" s="58">
        <v>-0.2</v>
      </c>
      <c r="K24" s="59"/>
      <c r="L24" s="60"/>
      <c r="M24" s="58">
        <v>-0.25</v>
      </c>
      <c r="N24" s="59"/>
      <c r="O24" s="60"/>
    </row>
    <row r="25" spans="1:15" s="15" customFormat="1" ht="32.85" customHeight="1">
      <c r="A25" s="11"/>
      <c r="B25" s="40" t="s">
        <v>101</v>
      </c>
      <c r="C25" s="36" t="s">
        <v>100</v>
      </c>
      <c r="D25" s="44" t="s">
        <v>102</v>
      </c>
      <c r="E25" s="76">
        <v>172790</v>
      </c>
      <c r="F25" s="16">
        <v>184790</v>
      </c>
      <c r="G25" s="75">
        <v>6.9448463452746134E-2</v>
      </c>
      <c r="H25" s="25" t="s">
        <v>3</v>
      </c>
      <c r="I25" s="22"/>
      <c r="J25" s="73">
        <f t="shared" si="2"/>
        <v>147832</v>
      </c>
      <c r="K25" s="24">
        <f t="shared" si="3"/>
        <v>0.25</v>
      </c>
      <c r="L25" s="22"/>
      <c r="M25" s="73">
        <f t="shared" si="4"/>
        <v>138593</v>
      </c>
      <c r="N25" s="24">
        <f t="shared" si="5"/>
        <v>0.33332852308558159</v>
      </c>
      <c r="O25" s="22"/>
    </row>
    <row r="26" spans="1:15" s="61" customFormat="1" ht="18">
      <c r="A26" s="52"/>
      <c r="B26" s="53" t="s">
        <v>50</v>
      </c>
      <c r="C26" s="54" t="s">
        <v>49</v>
      </c>
      <c r="D26" s="69" t="s">
        <v>88</v>
      </c>
      <c r="E26" s="55"/>
      <c r="F26" s="55"/>
      <c r="G26" s="56"/>
      <c r="H26" s="56"/>
      <c r="I26" s="57"/>
      <c r="J26" s="58">
        <v>-0.2</v>
      </c>
      <c r="K26" s="59"/>
      <c r="L26" s="60"/>
      <c r="M26" s="58">
        <v>-0.25</v>
      </c>
      <c r="N26" s="59"/>
      <c r="O26" s="60"/>
    </row>
    <row r="27" spans="1:15" s="15" customFormat="1" ht="32.85" customHeight="1">
      <c r="A27" s="11"/>
      <c r="B27" s="40" t="s">
        <v>29</v>
      </c>
      <c r="C27" s="36" t="s">
        <v>24</v>
      </c>
      <c r="D27" s="44" t="s">
        <v>43</v>
      </c>
      <c r="E27" s="76">
        <v>109090</v>
      </c>
      <c r="F27" s="16">
        <v>114990</v>
      </c>
      <c r="G27" s="75">
        <v>5.4083784031533577E-2</v>
      </c>
      <c r="H27" s="25" t="s">
        <v>3</v>
      </c>
      <c r="I27" s="22"/>
      <c r="J27" s="73">
        <f t="shared" si="2"/>
        <v>91992</v>
      </c>
      <c r="K27" s="24">
        <f t="shared" si="3"/>
        <v>0.25</v>
      </c>
      <c r="L27" s="22"/>
      <c r="M27" s="73">
        <f t="shared" si="4"/>
        <v>86243</v>
      </c>
      <c r="N27" s="24">
        <f t="shared" si="5"/>
        <v>0.33332560323736415</v>
      </c>
      <c r="O27" s="22"/>
    </row>
    <row r="28" spans="1:15" s="52" customFormat="1" ht="18">
      <c r="B28" s="53" t="s">
        <v>50</v>
      </c>
      <c r="C28" s="54" t="s">
        <v>87</v>
      </c>
      <c r="D28" s="69" t="s">
        <v>88</v>
      </c>
      <c r="E28" s="55"/>
      <c r="F28" s="55"/>
      <c r="G28" s="56"/>
      <c r="H28" s="56"/>
      <c r="I28" s="57"/>
      <c r="J28" s="58">
        <v>-0.2</v>
      </c>
      <c r="K28" s="59"/>
      <c r="L28" s="60"/>
      <c r="M28" s="58">
        <v>-0.25</v>
      </c>
      <c r="N28" s="59"/>
      <c r="O28" s="60"/>
    </row>
    <row r="29" spans="1:15" s="15" customFormat="1" ht="33.15" customHeight="1">
      <c r="A29" s="11"/>
      <c r="B29" s="41" t="s">
        <v>28</v>
      </c>
      <c r="C29" s="51" t="s">
        <v>21</v>
      </c>
      <c r="D29" s="44" t="s">
        <v>48</v>
      </c>
      <c r="E29" s="76">
        <v>34490</v>
      </c>
      <c r="F29" s="16">
        <v>36190</v>
      </c>
      <c r="G29" s="75">
        <v>4.9289649173673622E-2</v>
      </c>
      <c r="H29" s="25" t="s">
        <v>3</v>
      </c>
      <c r="I29" s="22"/>
      <c r="J29" s="73">
        <f t="shared" si="2"/>
        <v>28952</v>
      </c>
      <c r="K29" s="24">
        <f t="shared" si="3"/>
        <v>0.25</v>
      </c>
      <c r="L29" s="22"/>
      <c r="M29" s="73">
        <f t="shared" si="4"/>
        <v>27143</v>
      </c>
      <c r="N29" s="24">
        <f t="shared" si="5"/>
        <v>0.33330877205909437</v>
      </c>
      <c r="O29" s="22"/>
    </row>
    <row r="30" spans="1:15" s="15" customFormat="1" ht="33.15" customHeight="1">
      <c r="A30" s="11"/>
      <c r="B30" s="41" t="s">
        <v>27</v>
      </c>
      <c r="C30" s="39" t="s">
        <v>23</v>
      </c>
      <c r="D30" s="44" t="s">
        <v>47</v>
      </c>
      <c r="E30" s="76">
        <v>16890</v>
      </c>
      <c r="F30" s="16">
        <v>17990</v>
      </c>
      <c r="G30" s="75">
        <v>6.5127294256956736E-2</v>
      </c>
      <c r="H30" s="25" t="s">
        <v>3</v>
      </c>
      <c r="I30" s="22"/>
      <c r="J30" s="73">
        <f t="shared" si="2"/>
        <v>14392</v>
      </c>
      <c r="K30" s="24">
        <f t="shared" si="3"/>
        <v>0.25</v>
      </c>
      <c r="L30" s="22"/>
      <c r="M30" s="73">
        <f t="shared" si="4"/>
        <v>13493</v>
      </c>
      <c r="N30" s="24">
        <f t="shared" si="5"/>
        <v>0.33328392499814719</v>
      </c>
      <c r="O30" s="22"/>
    </row>
    <row r="31" spans="1:15" s="15" customFormat="1" ht="33.15" customHeight="1">
      <c r="A31" s="11"/>
      <c r="B31" s="41" t="s">
        <v>97</v>
      </c>
      <c r="C31" s="39" t="s">
        <v>98</v>
      </c>
      <c r="D31" s="44" t="s">
        <v>47</v>
      </c>
      <c r="E31" s="76"/>
      <c r="F31" s="16">
        <v>16690</v>
      </c>
      <c r="G31" s="75"/>
      <c r="H31" s="25" t="s">
        <v>3</v>
      </c>
      <c r="I31" s="22"/>
      <c r="J31" s="73">
        <f t="shared" si="2"/>
        <v>13352</v>
      </c>
      <c r="K31" s="24">
        <f t="shared" si="3"/>
        <v>0.25</v>
      </c>
      <c r="L31" s="22"/>
      <c r="M31" s="73">
        <f t="shared" si="4"/>
        <v>12518</v>
      </c>
      <c r="N31" s="24">
        <f t="shared" si="5"/>
        <v>0.33328007668956694</v>
      </c>
      <c r="O31" s="22"/>
    </row>
    <row r="32" spans="1:15" s="15" customFormat="1" ht="33.15" customHeight="1">
      <c r="A32" s="11"/>
      <c r="B32" s="41" t="s">
        <v>32</v>
      </c>
      <c r="C32" s="37" t="s">
        <v>31</v>
      </c>
      <c r="D32" s="44" t="s">
        <v>75</v>
      </c>
      <c r="E32" s="76">
        <v>14490</v>
      </c>
      <c r="F32" s="16">
        <v>14890</v>
      </c>
      <c r="G32" s="75">
        <v>2.7605244996549372E-2</v>
      </c>
      <c r="H32" s="25" t="s">
        <v>3</v>
      </c>
      <c r="I32" s="22"/>
      <c r="J32" s="73">
        <f t="shared" si="2"/>
        <v>11912</v>
      </c>
      <c r="K32" s="24">
        <f t="shared" si="3"/>
        <v>0.25</v>
      </c>
      <c r="L32" s="22"/>
      <c r="M32" s="73">
        <f t="shared" si="4"/>
        <v>11168</v>
      </c>
      <c r="N32" s="24">
        <f t="shared" si="5"/>
        <v>0.33327363896848139</v>
      </c>
      <c r="O32" s="22"/>
    </row>
    <row r="33" spans="1:15" s="15" customFormat="1" ht="33.15" customHeight="1">
      <c r="A33" s="11"/>
      <c r="B33" s="47" t="s">
        <v>65</v>
      </c>
      <c r="C33" s="39" t="s">
        <v>68</v>
      </c>
      <c r="D33" s="44" t="s">
        <v>89</v>
      </c>
      <c r="E33" s="76">
        <v>11490</v>
      </c>
      <c r="F33" s="16">
        <v>11790</v>
      </c>
      <c r="G33" s="75">
        <v>2.6109660574412441E-2</v>
      </c>
      <c r="H33" s="25" t="s">
        <v>3</v>
      </c>
      <c r="I33" s="22"/>
      <c r="J33" s="73">
        <f t="shared" si="2"/>
        <v>9432</v>
      </c>
      <c r="K33" s="24">
        <f t="shared" si="3"/>
        <v>0.25</v>
      </c>
      <c r="L33" s="22"/>
      <c r="M33" s="73">
        <f t="shared" si="4"/>
        <v>8843</v>
      </c>
      <c r="N33" s="24">
        <f t="shared" si="5"/>
        <v>0.33325794413660526</v>
      </c>
      <c r="O33" s="22"/>
    </row>
    <row r="34" spans="1:15" s="15" customFormat="1" ht="33.15" customHeight="1">
      <c r="A34" s="11"/>
      <c r="B34" s="47" t="s">
        <v>66</v>
      </c>
      <c r="C34" s="39" t="s">
        <v>69</v>
      </c>
      <c r="D34" s="44" t="s">
        <v>89</v>
      </c>
      <c r="E34" s="76">
        <v>11490</v>
      </c>
      <c r="F34" s="16">
        <v>11790</v>
      </c>
      <c r="G34" s="75">
        <v>2.6109660574412441E-2</v>
      </c>
      <c r="H34" s="25" t="s">
        <v>3</v>
      </c>
      <c r="I34" s="22"/>
      <c r="J34" s="73">
        <f t="shared" si="2"/>
        <v>9432</v>
      </c>
      <c r="K34" s="24">
        <f t="shared" si="3"/>
        <v>0.25</v>
      </c>
      <c r="L34" s="22"/>
      <c r="M34" s="73">
        <f t="shared" si="4"/>
        <v>8843</v>
      </c>
      <c r="N34" s="24">
        <f t="shared" si="5"/>
        <v>0.33325794413660526</v>
      </c>
      <c r="O34" s="22"/>
    </row>
    <row r="35" spans="1:15" s="15" customFormat="1" ht="32.700000000000003" customHeight="1">
      <c r="A35" s="11"/>
      <c r="B35" s="47" t="s">
        <v>67</v>
      </c>
      <c r="C35" s="39" t="s">
        <v>70</v>
      </c>
      <c r="D35" s="44" t="s">
        <v>89</v>
      </c>
      <c r="E35" s="76">
        <v>11490</v>
      </c>
      <c r="F35" s="16">
        <v>11790</v>
      </c>
      <c r="G35" s="75">
        <v>2.6109660574412441E-2</v>
      </c>
      <c r="H35" s="25" t="s">
        <v>3</v>
      </c>
      <c r="I35" s="22"/>
      <c r="J35" s="73">
        <f t="shared" si="2"/>
        <v>9432</v>
      </c>
      <c r="K35" s="24">
        <f t="shared" si="3"/>
        <v>0.25</v>
      </c>
      <c r="L35" s="22"/>
      <c r="M35" s="73">
        <f t="shared" si="4"/>
        <v>8843</v>
      </c>
      <c r="N35" s="24">
        <f t="shared" si="5"/>
        <v>0.33325794413660526</v>
      </c>
      <c r="O35" s="22"/>
    </row>
    <row r="36" spans="1:15" s="15" customFormat="1" ht="33.15" customHeight="1">
      <c r="A36" s="11"/>
      <c r="B36" s="47" t="s">
        <v>71</v>
      </c>
      <c r="C36" s="39" t="s">
        <v>72</v>
      </c>
      <c r="D36" s="44" t="s">
        <v>90</v>
      </c>
      <c r="E36" s="76">
        <v>5990</v>
      </c>
      <c r="F36" s="16">
        <v>5890</v>
      </c>
      <c r="G36" s="75">
        <v>-1.6694490818030094E-2</v>
      </c>
      <c r="H36" s="25" t="s">
        <v>3</v>
      </c>
      <c r="I36" s="22"/>
      <c r="J36" s="73">
        <f t="shared" si="2"/>
        <v>4712</v>
      </c>
      <c r="K36" s="24">
        <f t="shared" si="3"/>
        <v>0.25</v>
      </c>
      <c r="L36" s="22"/>
      <c r="M36" s="73">
        <f t="shared" si="4"/>
        <v>4418</v>
      </c>
      <c r="N36" s="24">
        <f t="shared" si="5"/>
        <v>0.33318243549117255</v>
      </c>
      <c r="O36" s="22"/>
    </row>
    <row r="37" spans="1:15" s="15" customFormat="1" ht="33.15" customHeight="1">
      <c r="A37" s="11"/>
      <c r="B37" s="47" t="s">
        <v>73</v>
      </c>
      <c r="C37" s="39" t="s">
        <v>74</v>
      </c>
      <c r="D37" s="44" t="s">
        <v>90</v>
      </c>
      <c r="E37" s="76">
        <v>9590</v>
      </c>
      <c r="F37" s="16">
        <v>10190</v>
      </c>
      <c r="G37" s="75">
        <v>6.2565172054223073E-2</v>
      </c>
      <c r="H37" s="25" t="s">
        <v>3</v>
      </c>
      <c r="I37" s="22"/>
      <c r="J37" s="73">
        <f t="shared" si="2"/>
        <v>8152</v>
      </c>
      <c r="K37" s="24">
        <f t="shared" si="3"/>
        <v>0.25</v>
      </c>
      <c r="L37" s="22"/>
      <c r="M37" s="73">
        <f t="shared" si="4"/>
        <v>7643</v>
      </c>
      <c r="N37" s="24">
        <f t="shared" si="5"/>
        <v>0.33324610754939155</v>
      </c>
      <c r="O37" s="22"/>
    </row>
    <row r="38" spans="1:15" s="52" customFormat="1" ht="18">
      <c r="B38" s="53" t="s">
        <v>50</v>
      </c>
      <c r="C38" s="54" t="s">
        <v>30</v>
      </c>
      <c r="D38" s="69" t="s">
        <v>88</v>
      </c>
      <c r="E38" s="55"/>
      <c r="F38" s="55"/>
      <c r="G38" s="56"/>
      <c r="H38" s="56"/>
      <c r="I38" s="57"/>
      <c r="J38" s="58">
        <v>-0.2</v>
      </c>
      <c r="K38" s="59"/>
      <c r="L38" s="60"/>
      <c r="M38" s="58">
        <v>-0.25</v>
      </c>
      <c r="N38" s="59"/>
      <c r="O38" s="60"/>
    </row>
    <row r="39" spans="1:15" s="15" customFormat="1" ht="33.15" customHeight="1">
      <c r="A39" s="11"/>
      <c r="B39" s="41" t="s">
        <v>81</v>
      </c>
      <c r="C39" s="39" t="s">
        <v>82</v>
      </c>
      <c r="D39" s="44" t="s">
        <v>93</v>
      </c>
      <c r="E39" s="76">
        <v>12690</v>
      </c>
      <c r="F39" s="16">
        <v>12990</v>
      </c>
      <c r="G39" s="75">
        <v>2.3640661938534313E-2</v>
      </c>
      <c r="H39" s="25" t="s">
        <v>3</v>
      </c>
      <c r="I39" s="22"/>
      <c r="J39" s="73">
        <f t="shared" si="2"/>
        <v>10392</v>
      </c>
      <c r="K39" s="24">
        <f t="shared" si="3"/>
        <v>0.25</v>
      </c>
      <c r="L39" s="22"/>
      <c r="M39" s="73">
        <f t="shared" si="4"/>
        <v>9743</v>
      </c>
      <c r="N39" s="24">
        <f t="shared" si="5"/>
        <v>0.33326490813917675</v>
      </c>
      <c r="O39" s="22"/>
    </row>
    <row r="41" spans="1:15" customFormat="1" ht="28.35" customHeight="1"/>
    <row r="42" spans="1:15" customFormat="1" ht="13.2"/>
    <row r="43" spans="1:15" customFormat="1" ht="13.2"/>
    <row r="44" spans="1:15" customFormat="1" ht="13.2"/>
    <row r="47" spans="1:15" ht="39.9" customHeight="1"/>
    <row r="48" spans="1:15" ht="24.15" customHeight="1"/>
    <row r="49" ht="24.15" customHeight="1"/>
    <row r="50" ht="24.15" customHeight="1"/>
    <row r="51" ht="24.15" customHeight="1"/>
    <row r="52" ht="24.15" customHeight="1"/>
    <row r="53" ht="24.15" customHeight="1"/>
    <row r="54" ht="24.15" customHeight="1"/>
    <row r="55" ht="24.15" customHeight="1"/>
    <row r="56" ht="24.15" customHeight="1"/>
    <row r="57" ht="24.15" customHeight="1"/>
    <row r="58" ht="24.15" customHeight="1"/>
    <row r="59" ht="24.15" customHeight="1"/>
    <row r="60" ht="24.15" customHeight="1"/>
    <row r="61" ht="24.15" customHeight="1"/>
    <row r="62" ht="24.15" customHeight="1"/>
  </sheetData>
  <mergeCells count="7">
    <mergeCell ref="F6:G6"/>
    <mergeCell ref="J2:K2"/>
    <mergeCell ref="M2:N2"/>
    <mergeCell ref="B2:D5"/>
    <mergeCell ref="F2:H5"/>
    <mergeCell ref="M5:N5"/>
    <mergeCell ref="J5:K5"/>
  </mergeCells>
  <hyperlinks>
    <hyperlink ref="D7" r:id="rId1" xr:uid="{00000000-0004-0000-0000-000000000000}"/>
    <hyperlink ref="D18" r:id="rId2" xr:uid="{00000000-0004-0000-0000-000001000000}"/>
    <hyperlink ref="D30" r:id="rId3" xr:uid="{00000000-0004-0000-0000-000002000000}"/>
    <hyperlink ref="D29" r:id="rId4" xr:uid="{00000000-0004-0000-0000-000003000000}"/>
    <hyperlink ref="D27" r:id="rId5" xr:uid="{00000000-0004-0000-0000-000004000000}"/>
    <hyperlink ref="D19" r:id="rId6" xr:uid="{00000000-0004-0000-0000-000005000000}"/>
    <hyperlink ref="D15" r:id="rId7" display="Продажа остатков, вывод из ассортимента" xr:uid="{00000000-0004-0000-0000-000006000000}"/>
    <hyperlink ref="D16" r:id="rId8" display="Продажа остатков, вывод из ассортимента" xr:uid="{00000000-0004-0000-0000-000007000000}"/>
    <hyperlink ref="D32" r:id="rId9" display="Для ASP-100" xr:uid="{00000000-0004-0000-0000-000008000000}"/>
    <hyperlink ref="D34" r:id="rId10" display="Текущий ассортимент" xr:uid="{00000000-0004-0000-0000-000009000000}"/>
    <hyperlink ref="D35" r:id="rId11" display="Текущий ассортимент" xr:uid="{00000000-0004-0000-0000-00000A000000}"/>
    <hyperlink ref="D37" r:id="rId12" display="Текущий ассортимент" xr:uid="{00000000-0004-0000-0000-00000B000000}"/>
    <hyperlink ref="D8" r:id="rId13" xr:uid="{00000000-0004-0000-0000-00000C000000}"/>
    <hyperlink ref="D33" r:id="rId14" display="Текущий ассортимент" xr:uid="{00000000-0004-0000-0000-00000D000000}"/>
    <hyperlink ref="D36" r:id="rId15" display="Текущий ассортимент" xr:uid="{00000000-0004-0000-0000-00000E000000}"/>
    <hyperlink ref="D39" r:id="rId16" display="Текущий ассортимент" xr:uid="{00000000-0004-0000-0000-00000F000000}"/>
    <hyperlink ref="D12" r:id="rId17" display="С нагревательным элементом и датчиком СО2. Нет в наличии" xr:uid="{00000000-0004-0000-0000-000010000000}"/>
    <hyperlink ref="D11" r:id="rId18" display="С нагревательным элементом и датчиком СО2. Нет в наличии" xr:uid="{00000000-0004-0000-0000-000011000000}"/>
    <hyperlink ref="D9" r:id="rId19" xr:uid="{00000000-0004-0000-0000-000012000000}"/>
    <hyperlink ref="D10" r:id="rId20" xr:uid="{00000000-0004-0000-0000-000013000000}"/>
    <hyperlink ref="D20" r:id="rId21" xr:uid="{00000000-0004-0000-0000-000014000000}"/>
    <hyperlink ref="D21" r:id="rId22" xr:uid="{00000000-0004-0000-0000-000015000000}"/>
    <hyperlink ref="D22" r:id="rId23" xr:uid="{00000000-0004-0000-0000-000016000000}"/>
    <hyperlink ref="D23" r:id="rId24" xr:uid="{00000000-0004-0000-0000-000017000000}"/>
    <hyperlink ref="D25" r:id="rId25" display="Текущий ассортимент" xr:uid="{00000000-0004-0000-0000-000018000000}"/>
  </hyperlinks>
  <pageMargins left="0.25" right="0.25" top="0.75" bottom="0.75" header="0.3" footer="0.3"/>
  <pageSetup paperSize="9" scale="50" orientation="landscape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6"/>
  <sheetViews>
    <sheetView workbookViewId="0">
      <selection activeCell="C12" sqref="C12"/>
    </sheetView>
  </sheetViews>
  <sheetFormatPr defaultRowHeight="13.2"/>
  <cols>
    <col min="1" max="1" width="2.5546875" customWidth="1"/>
    <col min="2" max="2" width="30.5546875" bestFit="1" customWidth="1"/>
    <col min="3" max="3" width="10.109375" style="2" bestFit="1" customWidth="1"/>
    <col min="4" max="14" width="8.88671875" style="2"/>
  </cols>
  <sheetData>
    <row r="2" spans="2:3">
      <c r="B2" s="3" t="s">
        <v>12</v>
      </c>
      <c r="C2" s="3" t="s">
        <v>11</v>
      </c>
    </row>
    <row r="3" spans="2:3">
      <c r="B3" s="4" t="s">
        <v>4</v>
      </c>
      <c r="C3" s="5">
        <v>18900</v>
      </c>
    </row>
    <row r="4" spans="2:3">
      <c r="B4" s="4" t="s">
        <v>5</v>
      </c>
      <c r="C4" s="5">
        <v>23000</v>
      </c>
    </row>
    <row r="5" spans="2:3">
      <c r="B5" s="4" t="s">
        <v>6</v>
      </c>
      <c r="C5" s="6">
        <v>23500</v>
      </c>
    </row>
    <row r="6" spans="2:3">
      <c r="B6" s="9" t="s">
        <v>17</v>
      </c>
      <c r="C6" s="6">
        <v>25900</v>
      </c>
    </row>
    <row r="7" spans="2:3">
      <c r="B7" s="7" t="s">
        <v>16</v>
      </c>
      <c r="C7" s="6">
        <v>26990</v>
      </c>
    </row>
    <row r="8" spans="2:3" ht="16.5" customHeight="1">
      <c r="B8" s="9" t="s">
        <v>15</v>
      </c>
      <c r="C8" s="6">
        <v>27900</v>
      </c>
    </row>
    <row r="9" spans="2:3">
      <c r="B9" s="4" t="s">
        <v>7</v>
      </c>
      <c r="C9" s="6">
        <v>29800</v>
      </c>
    </row>
    <row r="10" spans="2:3">
      <c r="B10" s="7" t="s">
        <v>13</v>
      </c>
      <c r="C10" s="8">
        <v>29990</v>
      </c>
    </row>
    <row r="11" spans="2:3">
      <c r="B11" s="7" t="s">
        <v>14</v>
      </c>
      <c r="C11" s="8">
        <v>35990</v>
      </c>
    </row>
    <row r="12" spans="2:3">
      <c r="B12" s="9" t="s">
        <v>20</v>
      </c>
      <c r="C12" s="6">
        <v>39800</v>
      </c>
    </row>
    <row r="13" spans="2:3">
      <c r="B13" s="7" t="s">
        <v>18</v>
      </c>
      <c r="C13" s="8">
        <v>39990</v>
      </c>
    </row>
    <row r="14" spans="2:3">
      <c r="B14" s="4" t="s">
        <v>8</v>
      </c>
      <c r="C14" s="6">
        <v>45000</v>
      </c>
    </row>
    <row r="15" spans="2:3">
      <c r="B15" s="4" t="s">
        <v>9</v>
      </c>
      <c r="C15" s="6">
        <v>70000</v>
      </c>
    </row>
    <row r="16" spans="2:3">
      <c r="B16" s="4" t="s">
        <v>10</v>
      </c>
      <c r="C16" s="6">
        <v>70000</v>
      </c>
    </row>
  </sheetData>
  <autoFilter ref="B2:C2" xr:uid="{00000000-0009-0000-0000-000001000000}">
    <sortState xmlns:xlrd2="http://schemas.microsoft.com/office/spreadsheetml/2017/richdata2" ref="B3:C17">
      <sortCondition ref="C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ONEAIR</vt:lpstr>
      <vt:lpstr>Конкуренты</vt:lpstr>
      <vt:lpstr>ONEAIR!Область_печати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Стрелков Алексей</dc:creator>
  <cp:lastModifiedBy>Салахутдинов Фирхат Габдулхаевич</cp:lastModifiedBy>
  <cp:lastPrinted>2022-07-20T10:45:41Z</cp:lastPrinted>
  <dcterms:created xsi:type="dcterms:W3CDTF">2015-09-03T14:49:39Z</dcterms:created>
  <dcterms:modified xsi:type="dcterms:W3CDTF">2026-02-18T12:33:10Z</dcterms:modified>
</cp:coreProperties>
</file>